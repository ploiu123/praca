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e" sheetId="1" state="visible" r:id="rId3"/>
    <sheet name="Wyniki" sheetId="2" state="visible" r:id="rId4"/>
  </sheets>
  <definedNames>
    <definedName function="false" hidden="true" localSheetId="0" name="_xlnm._FilterDatabase" vbProcedure="false">Dane!$A$1:$J$16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<sst xmlns="http://schemas.openxmlformats.org/spreadsheetml/2006/main" count="136" uniqueCount="40">
  <si>
    <t xml:space="preserve">Użytkownik</t>
  </si>
  <si>
    <t xml:space="preserve">Źródło ruchu</t>
  </si>
  <si>
    <t xml:space="preserve">Urządzenie</t>
  </si>
  <si>
    <t xml:space="preserve">Kraj</t>
  </si>
  <si>
    <t xml:space="preserve">Nowy/Powracający</t>
  </si>
  <si>
    <t xml:space="preserve">Wskaźnik odrzuceń (%)</t>
  </si>
  <si>
    <t xml:space="preserve">Średni czas na stronie (min)</t>
  </si>
  <si>
    <t xml:space="preserve">Liczba przeglądanych stron</t>
  </si>
  <si>
    <t xml:space="preserve">Wartość koszyka (€)</t>
  </si>
  <si>
    <t xml:space="preserve">Czy dokonano zakupu?</t>
  </si>
  <si>
    <t xml:space="preserve">Google Ads</t>
  </si>
  <si>
    <t xml:space="preserve">Mobile</t>
  </si>
  <si>
    <t xml:space="preserve">Polska</t>
  </si>
  <si>
    <t xml:space="preserve">Nowy</t>
  </si>
  <si>
    <t xml:space="preserve">Nie</t>
  </si>
  <si>
    <t xml:space="preserve">Social Media</t>
  </si>
  <si>
    <t xml:space="preserve">Desktop</t>
  </si>
  <si>
    <t xml:space="preserve">Niemcy</t>
  </si>
  <si>
    <t xml:space="preserve">Powracający</t>
  </si>
  <si>
    <t xml:space="preserve">Tak</t>
  </si>
  <si>
    <t xml:space="preserve">Organic Search</t>
  </si>
  <si>
    <t xml:space="preserve">Wielka Brytania</t>
  </si>
  <si>
    <t xml:space="preserve">Tablet</t>
  </si>
  <si>
    <t xml:space="preserve">1. Źródło ruchu</t>
  </si>
  <si>
    <t xml:space="preserve">Użytkownicy</t>
  </si>
  <si>
    <t xml:space="preserve">Zakupy</t>
  </si>
  <si>
    <t xml:space="preserve">Konwersja</t>
  </si>
  <si>
    <t xml:space="preserve">Średni koszyk</t>
  </si>
  <si>
    <t xml:space="preserve">Odrzucenia (%)</t>
  </si>
  <si>
    <t xml:space="preserve">Średni czas (min)</t>
  </si>
  <si>
    <t xml:space="preserve">2. Urządzenia</t>
  </si>
  <si>
    <t xml:space="preserve">3. Kraje</t>
  </si>
  <si>
    <t xml:space="preserve">3. Kraje – nowi i powracający</t>
  </si>
  <si>
    <t xml:space="preserve">Nowi</t>
  </si>
  <si>
    <t xml:space="preserve">Zakupy nowych</t>
  </si>
  <si>
    <t xml:space="preserve">Zakupy powracających</t>
  </si>
  <si>
    <t xml:space="preserve">Odrzucenia nowych (%)</t>
  </si>
  <si>
    <t xml:space="preserve">Odrzucenia powracających (%)</t>
  </si>
  <si>
    <t xml:space="preserve">4. Nowi i powracający użytkownicy</t>
  </si>
  <si>
    <t xml:space="preserve">Typ użytkownika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</si>
</sst>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"/>
    <numFmt numFmtId="166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11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n">
        <v>75</v>
      </c>
      <c r="G2" s="2" t="n">
        <v>1.2</v>
      </c>
      <c r="H2" s="2" t="n">
        <v>3</v>
      </c>
      <c r="I2" s="3" t="n">
        <v>0</v>
      </c>
      <c r="J2" s="2" t="s">
        <v>14</v>
      </c>
    </row>
    <row r="3" customFormat="false" ht="15" hidden="false" customHeight="false" outlineLevel="0" collapsed="false">
      <c r="A3" s="2" t="n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n">
        <v>20</v>
      </c>
      <c r="G3" s="2" t="n">
        <v>4.5</v>
      </c>
      <c r="H3" s="2" t="n">
        <v>10</v>
      </c>
      <c r="I3" s="3" t="n">
        <v>150</v>
      </c>
      <c r="J3" s="2" t="s">
        <v>19</v>
      </c>
    </row>
    <row r="4" customFormat="false" ht="15" hidden="false" customHeight="false" outlineLevel="0" collapsed="false">
      <c r="A4" s="2" t="n">
        <v>3</v>
      </c>
      <c r="B4" s="2" t="s">
        <v>20</v>
      </c>
      <c r="C4" s="2" t="s">
        <v>11</v>
      </c>
      <c r="D4" s="2" t="s">
        <v>21</v>
      </c>
      <c r="E4" s="2" t="s">
        <v>13</v>
      </c>
      <c r="F4" s="2" t="n">
        <v>85</v>
      </c>
      <c r="G4" s="2" t="n">
        <v>0.9</v>
      </c>
      <c r="H4" s="2" t="n">
        <v>2</v>
      </c>
      <c r="I4" s="3" t="n">
        <v>0</v>
      </c>
      <c r="J4" s="2" t="s">
        <v>14</v>
      </c>
    </row>
    <row r="5" customFormat="false" ht="15" hidden="false" customHeight="false" outlineLevel="0" collapsed="false">
      <c r="A5" s="2" t="n">
        <v>4</v>
      </c>
      <c r="B5" s="2" t="s">
        <v>10</v>
      </c>
      <c r="C5" s="2" t="s">
        <v>22</v>
      </c>
      <c r="D5" s="2" t="s">
        <v>12</v>
      </c>
      <c r="E5" s="2" t="s">
        <v>18</v>
      </c>
      <c r="F5" s="2" t="n">
        <v>40</v>
      </c>
      <c r="G5" s="2" t="n">
        <v>3.1</v>
      </c>
      <c r="H5" s="2" t="n">
        <v>6</v>
      </c>
      <c r="I5" s="3" t="n">
        <v>85</v>
      </c>
      <c r="J5" s="2" t="s">
        <v>19</v>
      </c>
    </row>
    <row r="6" customFormat="false" ht="15" hidden="false" customHeight="false" outlineLevel="0" collapsed="false">
      <c r="A6" s="2" t="n">
        <v>5</v>
      </c>
      <c r="B6" s="2" t="s">
        <v>15</v>
      </c>
      <c r="C6" s="2" t="s">
        <v>11</v>
      </c>
      <c r="D6" s="2" t="s">
        <v>17</v>
      </c>
      <c r="E6" s="2" t="s">
        <v>13</v>
      </c>
      <c r="F6" s="2" t="n">
        <v>65</v>
      </c>
      <c r="G6" s="2" t="n">
        <v>1.7</v>
      </c>
      <c r="H6" s="2" t="n">
        <v>4</v>
      </c>
      <c r="I6" s="3" t="n">
        <v>30</v>
      </c>
      <c r="J6" s="2" t="s">
        <v>19</v>
      </c>
    </row>
    <row r="7" customFormat="false" ht="15" hidden="false" customHeight="false" outlineLevel="0" collapsed="false">
      <c r="A7" s="2" t="n">
        <v>6</v>
      </c>
      <c r="B7" s="2" t="s">
        <v>20</v>
      </c>
      <c r="C7" s="2" t="s">
        <v>16</v>
      </c>
      <c r="D7" s="2" t="s">
        <v>12</v>
      </c>
      <c r="E7" s="2" t="s">
        <v>13</v>
      </c>
      <c r="F7" s="2" t="n">
        <v>50</v>
      </c>
      <c r="G7" s="2" t="n">
        <v>2.5</v>
      </c>
      <c r="H7" s="2" t="n">
        <v>5</v>
      </c>
      <c r="I7" s="3" t="n">
        <v>0</v>
      </c>
      <c r="J7" s="2" t="s">
        <v>14</v>
      </c>
    </row>
    <row r="8" customFormat="false" ht="15" hidden="false" customHeight="false" outlineLevel="0" collapsed="false">
      <c r="A8" s="2" t="n">
        <v>7</v>
      </c>
      <c r="B8" s="2" t="s">
        <v>10</v>
      </c>
      <c r="C8" s="2" t="s">
        <v>16</v>
      </c>
      <c r="D8" s="2" t="s">
        <v>21</v>
      </c>
      <c r="E8" s="2" t="s">
        <v>18</v>
      </c>
      <c r="F8" s="2" t="n">
        <v>15</v>
      </c>
      <c r="G8" s="2" t="n">
        <v>5.2</v>
      </c>
      <c r="H8" s="2" t="n">
        <v>12</v>
      </c>
      <c r="I8" s="3" t="n">
        <v>200</v>
      </c>
      <c r="J8" s="2" t="s">
        <v>19</v>
      </c>
    </row>
    <row r="9" customFormat="false" ht="15" hidden="false" customHeight="false" outlineLevel="0" collapsed="false">
      <c r="A9" s="2" t="n">
        <v>8</v>
      </c>
      <c r="B9" s="2" t="s">
        <v>15</v>
      </c>
      <c r="C9" s="2" t="s">
        <v>11</v>
      </c>
      <c r="D9" s="2" t="s">
        <v>12</v>
      </c>
      <c r="E9" s="2" t="s">
        <v>13</v>
      </c>
      <c r="F9" s="2" t="n">
        <v>80</v>
      </c>
      <c r="G9" s="2" t="n">
        <v>1</v>
      </c>
      <c r="H9" s="2" t="n">
        <v>2</v>
      </c>
      <c r="I9" s="3" t="n">
        <v>0</v>
      </c>
      <c r="J9" s="2" t="s">
        <v>14</v>
      </c>
    </row>
    <row r="10" customFormat="false" ht="15" hidden="false" customHeight="false" outlineLevel="0" collapsed="false">
      <c r="A10" s="2" t="n">
        <v>9</v>
      </c>
      <c r="B10" s="2" t="s">
        <v>20</v>
      </c>
      <c r="C10" s="2" t="s">
        <v>11</v>
      </c>
      <c r="D10" s="2" t="s">
        <v>17</v>
      </c>
      <c r="E10" s="2" t="s">
        <v>18</v>
      </c>
      <c r="F10" s="2" t="n">
        <v>45</v>
      </c>
      <c r="G10" s="2" t="n">
        <v>3.4</v>
      </c>
      <c r="H10" s="2" t="n">
        <v>7</v>
      </c>
      <c r="I10" s="3" t="n">
        <v>75</v>
      </c>
      <c r="J10" s="2" t="s">
        <v>19</v>
      </c>
    </row>
    <row r="11" customFormat="false" ht="15" hidden="false" customHeight="false" outlineLevel="0" collapsed="false">
      <c r="A11" s="2" t="n">
        <v>10</v>
      </c>
      <c r="B11" s="2" t="s">
        <v>10</v>
      </c>
      <c r="C11" s="2" t="s">
        <v>16</v>
      </c>
      <c r="D11" s="2" t="s">
        <v>12</v>
      </c>
      <c r="E11" s="2" t="s">
        <v>18</v>
      </c>
      <c r="F11" s="2" t="n">
        <v>35</v>
      </c>
      <c r="G11" s="2" t="n">
        <v>3.7</v>
      </c>
      <c r="H11" s="2" t="n">
        <v>9</v>
      </c>
      <c r="I11" s="3" t="n">
        <v>120</v>
      </c>
      <c r="J11" s="2" t="s">
        <v>19</v>
      </c>
    </row>
    <row r="12" customFormat="false" ht="15" hidden="false" customHeight="false" outlineLevel="0" collapsed="false">
      <c r="A12" s="2" t="n">
        <v>11</v>
      </c>
      <c r="B12" s="2" t="s">
        <v>15</v>
      </c>
      <c r="C12" s="2" t="s">
        <v>22</v>
      </c>
      <c r="D12" s="2" t="s">
        <v>21</v>
      </c>
      <c r="E12" s="2" t="s">
        <v>13</v>
      </c>
      <c r="F12" s="2" t="n">
        <v>70</v>
      </c>
      <c r="G12" s="2" t="n">
        <v>1.8</v>
      </c>
      <c r="H12" s="2" t="n">
        <v>3</v>
      </c>
      <c r="I12" s="3" t="n">
        <v>0</v>
      </c>
      <c r="J12" s="2" t="s">
        <v>14</v>
      </c>
    </row>
    <row r="13" customFormat="false" ht="15" hidden="false" customHeight="false" outlineLevel="0" collapsed="false">
      <c r="A13" s="2" t="n">
        <v>12</v>
      </c>
      <c r="B13" s="2" t="s">
        <v>20</v>
      </c>
      <c r="C13" s="2" t="s">
        <v>11</v>
      </c>
      <c r="D13" s="2" t="s">
        <v>17</v>
      </c>
      <c r="E13" s="2" t="s">
        <v>13</v>
      </c>
      <c r="F13" s="2" t="n">
        <v>90</v>
      </c>
      <c r="G13" s="2" t="n">
        <v>0.7</v>
      </c>
      <c r="H13" s="2" t="n">
        <v>1</v>
      </c>
      <c r="I13" s="3" t="n">
        <v>0</v>
      </c>
      <c r="J13" s="2" t="s">
        <v>14</v>
      </c>
    </row>
    <row r="14" customFormat="false" ht="15" hidden="false" customHeight="false" outlineLevel="0" collapsed="false">
      <c r="A14" s="2" t="n">
        <v>13</v>
      </c>
      <c r="B14" s="2" t="s">
        <v>10</v>
      </c>
      <c r="C14" s="2" t="s">
        <v>11</v>
      </c>
      <c r="D14" s="2" t="s">
        <v>17</v>
      </c>
      <c r="E14" s="2" t="s">
        <v>18</v>
      </c>
      <c r="F14" s="2" t="n">
        <v>30</v>
      </c>
      <c r="G14" s="2" t="n">
        <v>4.2</v>
      </c>
      <c r="H14" s="2" t="n">
        <v>8</v>
      </c>
      <c r="I14" s="3" t="n">
        <v>95</v>
      </c>
      <c r="J14" s="2" t="s">
        <v>19</v>
      </c>
    </row>
    <row r="15" customFormat="false" ht="15" hidden="false" customHeight="false" outlineLevel="0" collapsed="false">
      <c r="A15" s="2" t="n">
        <v>14</v>
      </c>
      <c r="B15" s="2" t="s">
        <v>15</v>
      </c>
      <c r="C15" s="2" t="s">
        <v>16</v>
      </c>
      <c r="D15" s="2" t="s">
        <v>12</v>
      </c>
      <c r="E15" s="2" t="s">
        <v>18</v>
      </c>
      <c r="F15" s="2" t="n">
        <v>25</v>
      </c>
      <c r="G15" s="2" t="n">
        <v>4</v>
      </c>
      <c r="H15" s="2" t="n">
        <v>11</v>
      </c>
      <c r="I15" s="3" t="n">
        <v>180</v>
      </c>
      <c r="J15" s="2" t="s">
        <v>19</v>
      </c>
    </row>
    <row r="16" customFormat="false" ht="15" hidden="false" customHeight="false" outlineLevel="0" collapsed="false">
      <c r="A16" s="2" t="n">
        <v>15</v>
      </c>
      <c r="B16" s="2" t="s">
        <v>20</v>
      </c>
      <c r="C16" s="2" t="s">
        <v>22</v>
      </c>
      <c r="D16" s="2" t="s">
        <v>21</v>
      </c>
      <c r="E16" s="2" t="s">
        <v>13</v>
      </c>
      <c r="F16" s="2" t="n">
        <v>60</v>
      </c>
      <c r="G16" s="2" t="n">
        <v>2.3</v>
      </c>
      <c r="H16" s="2" t="n">
        <v>5</v>
      </c>
      <c r="I16" s="3" t="n">
        <v>0</v>
      </c>
      <c r="J16" s="2" t="s">
        <v>14</v>
      </c>
    </row>
  </sheetData>
  <autoFilter ref="A1:J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4"/>
  </cols>
  <sheetData>
    <row r="1" customFormat="false" ht="15" hidden="false" customHeight="false" outlineLevel="0" collapsed="false">
      <c r="A1" s="4" t="s">
        <v>23</v>
      </c>
    </row>
    <row r="2" customFormat="false" ht="31.5" hidden="false" customHeight="true" outlineLevel="0" collapsed="false">
      <c r="A2" s="5" t="s">
        <v>1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</row>
    <row r="3" customFormat="false" ht="15" hidden="false" customHeight="false" outlineLevel="0" collapsed="false">
      <c r="A3" s="2" t="s">
        <v>10</v>
      </c>
      <c r="B3" s="2" t="n">
        <f aca="false">COUNTIF(Dane!$B$2:$B$16,A3)</f>
        <v>5</v>
      </c>
      <c r="C3" s="2" t="n">
        <f aca="false">COUNTIFS(Dane!$B$2:$B$16,A3,Dane!$J$2:$J$16,"Tak")</f>
        <v>4</v>
      </c>
      <c r="D3" s="6" t="n">
        <f aca="false">C3/B3</f>
        <v>0.8</v>
      </c>
      <c r="E3" s="3" t="n">
        <f aca="false">AVERAGEIFS(Dane!$I$2:$I$16,Dane!$B$2:$B$16,A3,Dane!$J$2:$J$16,"Tak")</f>
        <v>125</v>
      </c>
      <c r="F3" s="2" t="n">
        <f aca="false">ROUND(AVERAGEIF(Dane!$B$2:$B$16,A3,Dane!$F$2:$F$16),1)</f>
        <v>39</v>
      </c>
      <c r="G3" s="2" t="n">
        <f aca="false">ROUND(AVERAGEIF(Dane!$B$2:$B$16,A3,Dane!$G$2:$G$16),1)</f>
        <v>3.5</v>
      </c>
    </row>
    <row r="4" customFormat="false" ht="15" hidden="false" customHeight="false" outlineLevel="0" collapsed="false">
      <c r="A4" s="2" t="s">
        <v>15</v>
      </c>
      <c r="B4" s="2" t="n">
        <f aca="false">COUNTIF(Dane!$B$2:$B$16,A4)</f>
        <v>5</v>
      </c>
      <c r="C4" s="2" t="n">
        <f aca="false">COUNTIFS(Dane!$B$2:$B$16,A4,Dane!$J$2:$J$16,"Tak")</f>
        <v>3</v>
      </c>
      <c r="D4" s="6" t="n">
        <f aca="false">C4/B4</f>
        <v>0.6</v>
      </c>
      <c r="E4" s="3" t="n">
        <f aca="false">AVERAGEIFS(Dane!$I$2:$I$16,Dane!$B$2:$B$16,A4,Dane!$J$2:$J$16,"Tak")</f>
        <v>120</v>
      </c>
      <c r="F4" s="2" t="n">
        <f aca="false">ROUND(AVERAGEIF(Dane!$B$2:$B$16,A4,Dane!$F$2:$F$16),1)</f>
        <v>52</v>
      </c>
      <c r="G4" s="2" t="n">
        <f aca="false">ROUND(AVERAGEIF(Dane!$B$2:$B$16,A4,Dane!$G$2:$G$16),1)</f>
        <v>2.6</v>
      </c>
    </row>
    <row r="5" customFormat="false" ht="15" hidden="false" customHeight="false" outlineLevel="0" collapsed="false">
      <c r="A5" s="2" t="s">
        <v>20</v>
      </c>
      <c r="B5" s="2" t="n">
        <f aca="false">COUNTIF(Dane!$B$2:$B$16,A5)</f>
        <v>5</v>
      </c>
      <c r="C5" s="2" t="n">
        <f aca="false">COUNTIFS(Dane!$B$2:$B$16,A5,Dane!$J$2:$J$16,"Tak")</f>
        <v>1</v>
      </c>
      <c r="D5" s="6" t="n">
        <f aca="false">C5/B5</f>
        <v>0.2</v>
      </c>
      <c r="E5" s="3" t="n">
        <f aca="false">AVERAGEIFS(Dane!$I$2:$I$16,Dane!$B$2:$B$16,A5,Dane!$J$2:$J$16,"Tak")</f>
        <v>75</v>
      </c>
      <c r="F5" s="2" t="n">
        <f aca="false">ROUND(AVERAGEIF(Dane!$B$2:$B$16,A5,Dane!$F$2:$F$16),1)</f>
        <v>66</v>
      </c>
      <c r="G5" s="2" t="n">
        <f aca="false">ROUND(AVERAGEIF(Dane!$B$2:$B$16,A5,Dane!$G$2:$G$16),1)</f>
        <v>2</v>
      </c>
    </row>
    <row r="8" customFormat="false" ht="15" hidden="false" customHeight="false" outlineLevel="0" collapsed="false">
      <c r="A8" s="4" t="s">
        <v>30</v>
      </c>
    </row>
    <row r="9" customFormat="false" ht="31.5" hidden="false" customHeight="true" outlineLevel="0" collapsed="false">
      <c r="A9" s="5" t="s">
        <v>2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</row>
    <row r="10" customFormat="false" ht="15" hidden="false" customHeight="false" outlineLevel="0" collapsed="false">
      <c r="A10" s="2" t="s">
        <v>16</v>
      </c>
      <c r="B10" s="2" t="n">
        <f aca="false">COUNTIF(Dane!$C$2:$C$16,A10)</f>
        <v>5</v>
      </c>
      <c r="C10" s="2" t="n">
        <f aca="false">COUNTIFS(Dane!$C$2:$C$16,A10,Dane!$J$2:$J$16,"Tak")</f>
        <v>4</v>
      </c>
      <c r="D10" s="6" t="n">
        <f aca="false">C10/B10</f>
        <v>0.8</v>
      </c>
      <c r="E10" s="3" t="n">
        <f aca="false">AVERAGEIFS(Dane!$I$2:$I$16,Dane!$C$2:$C$16,A10,Dane!$J$2:$J$16,"Tak")</f>
        <v>162.5</v>
      </c>
      <c r="F10" s="2" t="n">
        <f aca="false">ROUND(AVERAGEIF(Dane!$C$2:$C$16,A10,Dane!$F$2:$F$16),1)</f>
        <v>29</v>
      </c>
    </row>
    <row r="11" customFormat="false" ht="15" hidden="false" customHeight="false" outlineLevel="0" collapsed="false">
      <c r="A11" s="2" t="s">
        <v>11</v>
      </c>
      <c r="B11" s="2" t="n">
        <f aca="false">COUNTIF(Dane!$C$2:$C$16,A11)</f>
        <v>7</v>
      </c>
      <c r="C11" s="2" t="n">
        <f aca="false">COUNTIFS(Dane!$C$2:$C$16,A11,Dane!$J$2:$J$16,"Tak")</f>
        <v>3</v>
      </c>
      <c r="D11" s="6" t="n">
        <f aca="false">C11/B11</f>
        <v>0.428571428571429</v>
      </c>
      <c r="E11" s="3" t="n">
        <f aca="false">AVERAGEIFS(Dane!$I$2:$I$16,Dane!$C$2:$C$16,A11,Dane!$J$2:$J$16,"Tak")</f>
        <v>66.6666666666667</v>
      </c>
      <c r="F11" s="2" t="n">
        <f aca="false">ROUND(AVERAGEIF(Dane!$C$2:$C$16,A11,Dane!$F$2:$F$16),1)</f>
        <v>67.1</v>
      </c>
    </row>
    <row r="12" customFormat="false" ht="15" hidden="false" customHeight="false" outlineLevel="0" collapsed="false">
      <c r="A12" s="2" t="s">
        <v>22</v>
      </c>
      <c r="B12" s="2" t="n">
        <f aca="false">COUNTIF(Dane!$C$2:$C$16,A12)</f>
        <v>3</v>
      </c>
      <c r="C12" s="2" t="n">
        <f aca="false">COUNTIFS(Dane!$C$2:$C$16,A12,Dane!$J$2:$J$16,"Tak")</f>
        <v>1</v>
      </c>
      <c r="D12" s="6" t="n">
        <f aca="false">C12/B12</f>
        <v>0.333333333333333</v>
      </c>
      <c r="E12" s="3" t="n">
        <f aca="false">AVERAGEIFS(Dane!$I$2:$I$16,Dane!$C$2:$C$16,A12,Dane!$J$2:$J$16,"Tak")</f>
        <v>85</v>
      </c>
      <c r="F12" s="2" t="n">
        <f aca="false">ROUND(AVERAGEIF(Dane!$C$2:$C$16,A12,Dane!$F$2:$F$16),1)</f>
        <v>56.7</v>
      </c>
    </row>
    <row r="15" customFormat="false" ht="15" hidden="false" customHeight="false" outlineLevel="0" collapsed="false">
      <c r="A15" s="4" t="s">
        <v>31</v>
      </c>
    </row>
    <row r="16" customFormat="false" ht="31.5" hidden="false" customHeight="true" outlineLevel="0" collapsed="false">
      <c r="A16" s="5" t="s">
        <v>3</v>
      </c>
      <c r="B16" s="5" t="s">
        <v>24</v>
      </c>
      <c r="C16" s="5" t="s">
        <v>25</v>
      </c>
      <c r="D16" s="5" t="s">
        <v>26</v>
      </c>
      <c r="E16" s="5" t="s">
        <v>27</v>
      </c>
      <c r="F16" s="5" t="s">
        <v>28</v>
      </c>
    </row>
    <row r="17" customFormat="false" ht="15" hidden="false" customHeight="false" outlineLevel="0" collapsed="false">
      <c r="A17" s="2" t="s">
        <v>17</v>
      </c>
      <c r="B17" s="2" t="n">
        <f aca="false">COUNTIF(Dane!$D$2:$D$16,A17)</f>
        <v>5</v>
      </c>
      <c r="C17" s="2" t="n">
        <f aca="false">COUNTIFS(Dane!$D$2:$D$16,A17,Dane!$J$2:$J$16,"Tak")</f>
        <v>4</v>
      </c>
      <c r="D17" s="6" t="n">
        <f aca="false">C17/B17</f>
        <v>0.8</v>
      </c>
      <c r="E17" s="3" t="n">
        <f aca="false">AVERAGEIFS(Dane!$I$2:$I$16,Dane!$D$2:$D$16,A17,Dane!$J$2:$J$16,"Tak")</f>
        <v>87.5</v>
      </c>
      <c r="F17" s="2" t="n">
        <f aca="false">ROUND(AVERAGEIF(Dane!$D$2:$D$16,A17,Dane!$F$2:$F$16),1)</f>
        <v>50</v>
      </c>
    </row>
    <row r="18" customFormat="false" ht="15" hidden="false" customHeight="false" outlineLevel="0" collapsed="false">
      <c r="A18" s="2" t="s">
        <v>12</v>
      </c>
      <c r="B18" s="2" t="n">
        <f aca="false">COUNTIF(Dane!$D$2:$D$16,A18)</f>
        <v>6</v>
      </c>
      <c r="C18" s="2" t="n">
        <f aca="false">COUNTIFS(Dane!$D$2:$D$16,A18,Dane!$J$2:$J$16,"Tak")</f>
        <v>3</v>
      </c>
      <c r="D18" s="6" t="n">
        <f aca="false">C18/B18</f>
        <v>0.5</v>
      </c>
      <c r="E18" s="3" t="n">
        <f aca="false">AVERAGEIFS(Dane!$I$2:$I$16,Dane!$D$2:$D$16,A18,Dane!$J$2:$J$16,"Tak")</f>
        <v>128.333333333333</v>
      </c>
      <c r="F18" s="2" t="n">
        <f aca="false">ROUND(AVERAGEIF(Dane!$D$2:$D$16,A18,Dane!$F$2:$F$16),1)</f>
        <v>50.8</v>
      </c>
    </row>
    <row r="19" customFormat="false" ht="15" hidden="false" customHeight="false" outlineLevel="0" collapsed="false">
      <c r="A19" s="2" t="s">
        <v>21</v>
      </c>
      <c r="B19" s="2" t="n">
        <f aca="false">COUNTIF(Dane!$D$2:$D$16,A19)</f>
        <v>4</v>
      </c>
      <c r="C19" s="2" t="n">
        <f aca="false">COUNTIFS(Dane!$D$2:$D$16,A19,Dane!$J$2:$J$16,"Tak")</f>
        <v>1</v>
      </c>
      <c r="D19" s="6" t="n">
        <f aca="false">C19/B19</f>
        <v>0.25</v>
      </c>
      <c r="E19" s="3" t="n">
        <f aca="false">AVERAGEIFS(Dane!$I$2:$I$16,Dane!$D$2:$D$16,A19,Dane!$J$2:$J$16,"Tak")</f>
        <v>200</v>
      </c>
      <c r="F19" s="2" t="n">
        <f aca="false">ROUND(AVERAGEIF(Dane!$D$2:$D$16,A19,Dane!$F$2:$F$16),1)</f>
        <v>57.5</v>
      </c>
    </row>
    <row r="22" customFormat="false" ht="15" hidden="false" customHeight="false" outlineLevel="0" collapsed="false">
      <c r="A22" s="4" t="s">
        <v>32</v>
      </c>
    </row>
    <row r="23" customFormat="false" ht="31.5" hidden="false" customHeight="true" outlineLevel="0" collapsed="false">
      <c r="A23" s="5" t="s">
        <v>3</v>
      </c>
      <c r="B23" s="5" t="s">
        <v>33</v>
      </c>
      <c r="C23" s="5" t="s">
        <v>34</v>
      </c>
      <c r="D23" s="5" t="s">
        <v>18</v>
      </c>
      <c r="E23" s="5" t="s">
        <v>35</v>
      </c>
      <c r="F23" s="5" t="s">
        <v>36</v>
      </c>
      <c r="G23" s="5" t="s">
        <v>37</v>
      </c>
    </row>
    <row r="24" customFormat="false" ht="15" hidden="false" customHeight="false" outlineLevel="0" collapsed="false">
      <c r="A24" s="2" t="s">
        <v>17</v>
      </c>
      <c r="B24" s="2" t="n">
        <f aca="false">COUNTIFS(Dane!$D$2:$D$16,A24,Dane!$E$2:$E$16,"Nowy")</f>
        <v>2</v>
      </c>
      <c r="C24" s="2" t="n">
        <f aca="false">COUNTIFS(Dane!$D$2:$D$16,A24,Dane!$E$2:$E$16,"Nowy",Dane!$J$2:$J$16,"Tak")</f>
        <v>1</v>
      </c>
      <c r="D24" s="2" t="n">
        <f aca="false">COUNTIFS(Dane!$D$2:$D$16,A24,Dane!$E$2:$E$16,"Powracający")</f>
        <v>3</v>
      </c>
      <c r="E24" s="2" t="n">
        <f aca="false">COUNTIFS(Dane!$D$2:$D$16,A24,Dane!$E$2:$E$16,"Powracający",Dane!$J$2:$J$16,"Tak")</f>
        <v>3</v>
      </c>
      <c r="F24" s="2" t="n">
        <f aca="false">ROUND(AVERAGEIFS(Dane!$F$2:$F$16,Dane!$D$2:$D$16,A24,Dane!$E$2:$E$16,"Nowy"),1)</f>
        <v>77.5</v>
      </c>
      <c r="G24" s="2" t="n">
        <f aca="false">ROUND(AVERAGEIFS(Dane!$F$2:$F$16,Dane!$D$2:$D$16,A24,Dane!$E$2:$E$16,"Powracający"),1)</f>
        <v>31.7</v>
      </c>
    </row>
    <row r="25" customFormat="false" ht="15" hidden="false" customHeight="false" outlineLevel="0" collapsed="false">
      <c r="A25" s="2" t="s">
        <v>12</v>
      </c>
      <c r="B25" s="2" t="n">
        <f aca="false">COUNTIFS(Dane!$D$2:$D$16,A25,Dane!$E$2:$E$16,"Nowy")</f>
        <v>3</v>
      </c>
      <c r="C25" s="2" t="n">
        <f aca="false">COUNTIFS(Dane!$D$2:$D$16,A25,Dane!$E$2:$E$16,"Nowy",Dane!$J$2:$J$16,"Tak")</f>
        <v>0</v>
      </c>
      <c r="D25" s="2" t="n">
        <f aca="false">COUNTIFS(Dane!$D$2:$D$16,A25,Dane!$E$2:$E$16,"Powracający")</f>
        <v>3</v>
      </c>
      <c r="E25" s="2" t="n">
        <f aca="false">COUNTIFS(Dane!$D$2:$D$16,A25,Dane!$E$2:$E$16,"Powracający",Dane!$J$2:$J$16,"Tak")</f>
        <v>3</v>
      </c>
      <c r="F25" s="2" t="n">
        <f aca="false">ROUND(AVERAGEIFS(Dane!$F$2:$F$16,Dane!$D$2:$D$16,A25,Dane!$E$2:$E$16,"Nowy"),1)</f>
        <v>68.3</v>
      </c>
      <c r="G25" s="2" t="n">
        <f aca="false">ROUND(AVERAGEIFS(Dane!$F$2:$F$16,Dane!$D$2:$D$16,A25,Dane!$E$2:$E$16,"Powracający"),1)</f>
        <v>33.3</v>
      </c>
    </row>
    <row r="26" customFormat="false" ht="15" hidden="false" customHeight="false" outlineLevel="0" collapsed="false">
      <c r="A26" s="2" t="s">
        <v>21</v>
      </c>
      <c r="B26" s="2" t="n">
        <f aca="false">COUNTIFS(Dane!$D$2:$D$16,A26,Dane!$E$2:$E$16,"Nowy")</f>
        <v>3</v>
      </c>
      <c r="C26" s="2" t="n">
        <f aca="false">COUNTIFS(Dane!$D$2:$D$16,A26,Dane!$E$2:$E$16,"Nowy",Dane!$J$2:$J$16,"Tak")</f>
        <v>0</v>
      </c>
      <c r="D26" s="2" t="n">
        <f aca="false">COUNTIFS(Dane!$D$2:$D$16,A26,Dane!$E$2:$E$16,"Powracający")</f>
        <v>1</v>
      </c>
      <c r="E26" s="2" t="n">
        <f aca="false">COUNTIFS(Dane!$D$2:$D$16,A26,Dane!$E$2:$E$16,"Powracający",Dane!$J$2:$J$16,"Tak")</f>
        <v>1</v>
      </c>
      <c r="F26" s="2" t="n">
        <f aca="false">ROUND(AVERAGEIFS(Dane!$F$2:$F$16,Dane!$D$2:$D$16,A26,Dane!$E$2:$E$16,"Nowy"),1)</f>
        <v>71.7</v>
      </c>
      <c r="G26" s="2" t="n">
        <f aca="false">ROUND(AVERAGEIFS(Dane!$F$2:$F$16,Dane!$D$2:$D$16,A26,Dane!$E$2:$E$16,"Powracający"),1)</f>
        <v>15</v>
      </c>
    </row>
    <row r="29" customFormat="false" ht="15" hidden="false" customHeight="false" outlineLevel="0" collapsed="false">
      <c r="A29" s="4" t="s">
        <v>38</v>
      </c>
    </row>
    <row r="30" customFormat="false" ht="31.5" hidden="false" customHeight="true" outlineLevel="0" collapsed="false">
      <c r="A30" s="5" t="s">
        <v>39</v>
      </c>
      <c r="B30" s="5" t="s">
        <v>24</v>
      </c>
      <c r="C30" s="5" t="s">
        <v>25</v>
      </c>
      <c r="D30" s="5" t="s">
        <v>26</v>
      </c>
      <c r="E30" s="5" t="s">
        <v>29</v>
      </c>
      <c r="F30" s="5" t="s">
        <v>28</v>
      </c>
    </row>
    <row r="31" customFormat="false" ht="15" hidden="false" customHeight="false" outlineLevel="0" collapsed="false">
      <c r="A31" s="2" t="s">
        <v>13</v>
      </c>
      <c r="B31" s="2" t="n">
        <f aca="false">COUNTIF(Dane!$E$2:$E$16,A31)</f>
        <v>8</v>
      </c>
      <c r="C31" s="2" t="n">
        <f aca="false">COUNTIFS(Dane!$E$2:$E$16,A31,Dane!$J$2:$J$16,"Tak")</f>
        <v>1</v>
      </c>
      <c r="D31" s="6" t="n">
        <f aca="false">C31/B31</f>
        <v>0.125</v>
      </c>
      <c r="E31" s="2" t="n">
        <f aca="false">ROUND(AVERAGEIF(Dane!$E$2:$E$16,A31,Dane!$G$2:$G$16),1)</f>
        <v>1.5</v>
      </c>
      <c r="F31" s="2" t="n">
        <f aca="false">ROUND(AVERAGEIF(Dane!$E$2:$E$16,A31,Dane!$F$2:$F$16),1)</f>
        <v>71.9</v>
      </c>
    </row>
    <row r="32" customFormat="false" ht="15" hidden="false" customHeight="false" outlineLevel="0" collapsed="false">
      <c r="A32" s="2" t="s">
        <v>18</v>
      </c>
      <c r="B32" s="2" t="n">
        <f aca="false">COUNTIF(Dane!$E$2:$E$16,A32)</f>
        <v>7</v>
      </c>
      <c r="C32" s="2" t="n">
        <f aca="false">COUNTIFS(Dane!$E$2:$E$16,A32,Dane!$J$2:$J$16,"Tak")</f>
        <v>7</v>
      </c>
      <c r="D32" s="6" t="n">
        <f aca="false">C32/B32</f>
        <v>1</v>
      </c>
      <c r="E32" s="2" t="n">
        <f aca="false">ROUND(AVERAGEIF(Dane!$E$2:$E$16,A32,Dane!$G$2:$G$16),1)</f>
        <v>4</v>
      </c>
      <c r="F32" s="2" t="n">
        <f aca="false">ROUND(AVERAGEIF(Dane!$E$2:$E$16,A32,Dane!$F$2:$F$16),1)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2026-10-16T16:19:18Z</dcterms:created>
  <dc:creator>openpyxl</dc:creator>
  <dc:description/>
  <dc:language>en-US</dc:language>
  <cp:lastModifiedBy/>
  <dcterms:modified xsi:type="dcterms:W3CDTF">2026-10-16T16:19:18Z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