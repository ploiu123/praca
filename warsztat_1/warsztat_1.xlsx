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ne" sheetId="1" state="visible" r:id="rId3"/>
    <sheet name="Jakość danych" sheetId="2" state="visible" r:id="rId4"/>
    <sheet name="Podsumowani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<sst xmlns="http://schemas.openxmlformats.org/spreadsheetml/2006/main" count="253" uniqueCount="70">
  <si>
    <t xml:space="preserve">Użytkownik</t>
  </si>
  <si>
    <t xml:space="preserve">Źródło ruchu</t>
  </si>
  <si>
    <t xml:space="preserve">Urządzenie</t>
  </si>
  <si>
    <t xml:space="preserve">Kraj</t>
  </si>
  <si>
    <t xml:space="preserve">Nowy/Powracający</t>
  </si>
  <si>
    <t xml:space="preserve">Wskaźnik odrzuceń</t>
  </si>
  <si>
    <t xml:space="preserve">Średni czas na stronie (min)</t>
  </si>
  <si>
    <t xml:space="preserve">Liczba przeglądanych stron</t>
  </si>
  <si>
    <t xml:space="preserve">Wartość koszyka (€)</t>
  </si>
  <si>
    <t xml:space="preserve">Czy dokonano zakupu?</t>
  </si>
  <si>
    <t xml:space="preserve">Google Ads</t>
  </si>
  <si>
    <t xml:space="preserve">Mobile</t>
  </si>
  <si>
    <t xml:space="preserve">Polska</t>
  </si>
  <si>
    <t xml:space="preserve">Nowy</t>
  </si>
  <si>
    <t xml:space="preserve">Nie</t>
  </si>
  <si>
    <t xml:space="preserve">Social Media</t>
  </si>
  <si>
    <t xml:space="preserve">Desktop</t>
  </si>
  <si>
    <t xml:space="preserve">Niemcy</t>
  </si>
  <si>
    <t xml:space="preserve">Powracający</t>
  </si>
  <si>
    <t xml:space="preserve">Tak</t>
  </si>
  <si>
    <t xml:space="preserve">Organic Search</t>
  </si>
  <si>
    <t xml:space="preserve">Wielka Brytania</t>
  </si>
  <si>
    <t xml:space="preserve">Tablet</t>
  </si>
  <si>
    <t xml:space="preserve">Źródło: dane przykładowe z karty warsztatu (Ćwiczenie I). Filtry: strzałki w nagłówkach tabeli. Niebieski tekst = dane wejściowe.</t>
  </si>
  <si>
    <t xml:space="preserve">Przygotowanie danych: kontrola 5 wymiarów jakości</t>
  </si>
  <si>
    <t xml:space="preserve">Wynik = liczba rekordów z problemem (0 = OK). Formuły liczone z arkusza Dane.</t>
  </si>
  <si>
    <t xml:space="preserve">Wymiar jakości</t>
  </si>
  <si>
    <t xml:space="preserve">Test</t>
  </si>
  <si>
    <t xml:space="preserve">Wynik</t>
  </si>
  <si>
    <t xml:space="preserve">Ocena</t>
  </si>
  <si>
    <t xml:space="preserve">Completeness (kompletność)</t>
  </si>
  <si>
    <t xml:space="preserve">Puste komórki w danych</t>
  </si>
  <si>
    <t xml:space="preserve">Uniqueness (unikalność)</t>
  </si>
  <si>
    <t xml:space="preserve">Powtórzone ID użytkownika</t>
  </si>
  <si>
    <t xml:space="preserve">Accuracy (poprawność)</t>
  </si>
  <si>
    <t xml:space="preserve">Wskaźnik odrzuceń poza zakresem 0-100%</t>
  </si>
  <si>
    <t xml:space="preserve">Czas na stronie &lt;= 0 lub liczba stron &lt; 1</t>
  </si>
  <si>
    <t xml:space="preserve">Consistency (spójność)</t>
  </si>
  <si>
    <t xml:space="preserve">Zakup = Tak, ale koszyk = 0 €</t>
  </si>
  <si>
    <t xml:space="preserve">Zakup = Nie, ale koszyk &gt; 0 €</t>
  </si>
  <si>
    <t xml:space="preserve">Źródło ruchu spoza słownika</t>
  </si>
  <si>
    <t xml:space="preserve">Urządzenie spoza słownika</t>
  </si>
  <si>
    <t xml:space="preserve">Timeliness (aktualność)</t>
  </si>
  <si>
    <t xml:space="preserve">Brak kolumny z datą wizyty</t>
  </si>
  <si>
    <t xml:space="preserve">nie da się ocenić</t>
  </si>
  <si>
    <t xml:space="preserve">Brak danych też jest informacją: nie wiemy, z jakiego okresu są dane.</t>
  </si>
  <si>
    <t xml:space="preserve">Definicja wskaźnika odrzuceń</t>
  </si>
  <si>
    <t xml:space="preserve">do doprecyzowania</t>
  </si>
  <si>
    <t xml:space="preserve">Odrzucenia podane per użytkownik (w GA4 to metryka sesji).</t>
  </si>
  <si>
    <t xml:space="preserve">Podsumowanie wskaźników wg filtrów (formuły liczone z arkusza Dane)</t>
  </si>
  <si>
    <t xml:space="preserve">Konwersja = zakupy / użytkownicy; śr. wartość koszyka liczona tylko dla kupujących; przychód na użytkownika = przychód / wszyscy użytkownicy.</t>
  </si>
  <si>
    <t xml:space="preserve">Filtr: Źródło ruchu</t>
  </si>
  <si>
    <t xml:space="preserve">Użytkownicy</t>
  </si>
  <si>
    <t xml:space="preserve">Zakupy</t>
  </si>
  <si>
    <t xml:space="preserve">Współczynnik konwersji</t>
  </si>
  <si>
    <t xml:space="preserve">Śr. wskaźnik odrzuceń</t>
  </si>
  <si>
    <t xml:space="preserve">Śr. czas na stronie (min)</t>
  </si>
  <si>
    <t xml:space="preserve">Śr. liczba stron</t>
  </si>
  <si>
    <t xml:space="preserve">Przychód (€)</t>
  </si>
  <si>
    <t xml:space="preserve">Śr. wartość koszyka - kupujący (€)</t>
  </si>
  <si>
    <t xml:space="preserve">Przychód na użytkownika (€)</t>
  </si>
  <si>
    <t xml:space="preserve">Udział w przychodzie</t>
  </si>
  <si>
    <t xml:space="preserve">Razem</t>
  </si>
  <si>
    <t xml:space="preserve">Filtr: Urządzenie</t>
  </si>
  <si>
    <t xml:space="preserve">Filtr: Kraj</t>
  </si>
  <si>
    <t xml:space="preserve">Filtr: Nowy / Powracający</t>
  </si>
  <si>
    <t xml:space="preserve">Nowy / Powracający</t>
  </si>
  <si>
    <t xml:space="preserve">Filtr: Źródło ruchu × Nowy/Powracający</t>
  </si>
  <si>
    <t xml:space="preserve">Filtr: Urządzenie × Nowy/Powracający</t>
  </si>
  <si>
    <t xml:space="preserve">Filtr: Kraj × Nowy/Powracający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</si>
</sst>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%"/>
    <numFmt numFmtId="167" formatCode="0.0"/>
    <numFmt numFmtId="168" formatCode="#,##0&quot; €&quot;"/>
    <numFmt numFmtId="169" formatCode="0.0%"/>
    <numFmt numFmtId="170" formatCode="0.00"/>
    <numFmt numFmtId="171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Dane" displayName="TabelaDane" ref="A1:J16" headerRowCount="1" totalsRowCount="0" totalsRowShown="0">
  <autoFilter ref="A1:J16"/>
  <tableColumns count="10">
    <tableColumn id="1" name="Użytkownik"/>
    <tableColumn id="2" name="Źródło ruchu"/>
    <tableColumn id="3" name="Urządzenie"/>
    <tableColumn id="4" name="Kraj"/>
    <tableColumn id="5" name="Nowy/Powracający"/>
    <tableColumn id="6" name="Wskaźnik odrzuceń"/>
    <tableColumn id="7" name="Średni czas na stronie (min)"/>
    <tableColumn id="8" name="Liczba przeglądanych stron"/>
    <tableColumn id="9" name="Wartość koszyka (€)"/>
    <tableColumn id="10" name="Czy dokonano zakupu?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6"/>
  </cols>
  <sheetData>
    <row r="1" customFormat="false" ht="4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1</v>
      </c>
      <c r="B2" s="3" t="s">
        <v>10</v>
      </c>
      <c r="C2" s="3" t="s">
        <v>11</v>
      </c>
      <c r="D2" s="3" t="s">
        <v>12</v>
      </c>
      <c r="E2" s="3" t="s">
        <v>13</v>
      </c>
      <c r="F2" s="4" t="n">
        <v>0.75</v>
      </c>
      <c r="G2" s="5" t="n">
        <v>1.2</v>
      </c>
      <c r="H2" s="2" t="n">
        <v>3</v>
      </c>
      <c r="I2" s="6" t="n">
        <v>0</v>
      </c>
      <c r="J2" s="3" t="s">
        <v>14</v>
      </c>
    </row>
    <row r="3" customFormat="false" ht="15" hidden="false" customHeight="false" outlineLevel="0" collapsed="false">
      <c r="A3" s="2" t="n">
        <v>2</v>
      </c>
      <c r="B3" s="3" t="s">
        <v>15</v>
      </c>
      <c r="C3" s="3" t="s">
        <v>16</v>
      </c>
      <c r="D3" s="3" t="s">
        <v>17</v>
      </c>
      <c r="E3" s="3" t="s">
        <v>18</v>
      </c>
      <c r="F3" s="4" t="n">
        <v>0.2</v>
      </c>
      <c r="G3" s="5" t="n">
        <v>4.5</v>
      </c>
      <c r="H3" s="2" t="n">
        <v>10</v>
      </c>
      <c r="I3" s="6" t="n">
        <v>150</v>
      </c>
      <c r="J3" s="3" t="s">
        <v>19</v>
      </c>
    </row>
    <row r="4" customFormat="false" ht="15" hidden="false" customHeight="false" outlineLevel="0" collapsed="false">
      <c r="A4" s="2" t="n">
        <v>3</v>
      </c>
      <c r="B4" s="3" t="s">
        <v>20</v>
      </c>
      <c r="C4" s="3" t="s">
        <v>11</v>
      </c>
      <c r="D4" s="3" t="s">
        <v>21</v>
      </c>
      <c r="E4" s="3" t="s">
        <v>13</v>
      </c>
      <c r="F4" s="4" t="n">
        <v>0.85</v>
      </c>
      <c r="G4" s="5" t="n">
        <v>0.9</v>
      </c>
      <c r="H4" s="2" t="n">
        <v>2</v>
      </c>
      <c r="I4" s="6" t="n">
        <v>0</v>
      </c>
      <c r="J4" s="3" t="s">
        <v>14</v>
      </c>
    </row>
    <row r="5" customFormat="false" ht="15" hidden="false" customHeight="false" outlineLevel="0" collapsed="false">
      <c r="A5" s="2" t="n">
        <v>4</v>
      </c>
      <c r="B5" s="3" t="s">
        <v>10</v>
      </c>
      <c r="C5" s="3" t="s">
        <v>22</v>
      </c>
      <c r="D5" s="3" t="s">
        <v>12</v>
      </c>
      <c r="E5" s="3" t="s">
        <v>18</v>
      </c>
      <c r="F5" s="4" t="n">
        <v>0.4</v>
      </c>
      <c r="G5" s="5" t="n">
        <v>3.1</v>
      </c>
      <c r="H5" s="2" t="n">
        <v>6</v>
      </c>
      <c r="I5" s="6" t="n">
        <v>85</v>
      </c>
      <c r="J5" s="3" t="s">
        <v>19</v>
      </c>
    </row>
    <row r="6" customFormat="false" ht="15" hidden="false" customHeight="false" outlineLevel="0" collapsed="false">
      <c r="A6" s="2" t="n">
        <v>5</v>
      </c>
      <c r="B6" s="3" t="s">
        <v>15</v>
      </c>
      <c r="C6" s="3" t="s">
        <v>11</v>
      </c>
      <c r="D6" s="3" t="s">
        <v>17</v>
      </c>
      <c r="E6" s="3" t="s">
        <v>13</v>
      </c>
      <c r="F6" s="4" t="n">
        <v>0.65</v>
      </c>
      <c r="G6" s="5" t="n">
        <v>1.7</v>
      </c>
      <c r="H6" s="2" t="n">
        <v>4</v>
      </c>
      <c r="I6" s="6" t="n">
        <v>30</v>
      </c>
      <c r="J6" s="3" t="s">
        <v>19</v>
      </c>
    </row>
    <row r="7" customFormat="false" ht="15" hidden="false" customHeight="false" outlineLevel="0" collapsed="false">
      <c r="A7" s="2" t="n">
        <v>6</v>
      </c>
      <c r="B7" s="3" t="s">
        <v>20</v>
      </c>
      <c r="C7" s="3" t="s">
        <v>16</v>
      </c>
      <c r="D7" s="3" t="s">
        <v>12</v>
      </c>
      <c r="E7" s="3" t="s">
        <v>13</v>
      </c>
      <c r="F7" s="4" t="n">
        <v>0.5</v>
      </c>
      <c r="G7" s="5" t="n">
        <v>2.5</v>
      </c>
      <c r="H7" s="2" t="n">
        <v>5</v>
      </c>
      <c r="I7" s="6" t="n">
        <v>0</v>
      </c>
      <c r="J7" s="3" t="s">
        <v>14</v>
      </c>
    </row>
    <row r="8" customFormat="false" ht="15" hidden="false" customHeight="false" outlineLevel="0" collapsed="false">
      <c r="A8" s="2" t="n">
        <v>7</v>
      </c>
      <c r="B8" s="3" t="s">
        <v>10</v>
      </c>
      <c r="C8" s="3" t="s">
        <v>16</v>
      </c>
      <c r="D8" s="3" t="s">
        <v>21</v>
      </c>
      <c r="E8" s="3" t="s">
        <v>18</v>
      </c>
      <c r="F8" s="4" t="n">
        <v>0.15</v>
      </c>
      <c r="G8" s="5" t="n">
        <v>5.2</v>
      </c>
      <c r="H8" s="2" t="n">
        <v>12</v>
      </c>
      <c r="I8" s="6" t="n">
        <v>200</v>
      </c>
      <c r="J8" s="3" t="s">
        <v>19</v>
      </c>
    </row>
    <row r="9" customFormat="false" ht="15" hidden="false" customHeight="false" outlineLevel="0" collapsed="false">
      <c r="A9" s="2" t="n">
        <v>8</v>
      </c>
      <c r="B9" s="3" t="s">
        <v>15</v>
      </c>
      <c r="C9" s="3" t="s">
        <v>11</v>
      </c>
      <c r="D9" s="3" t="s">
        <v>12</v>
      </c>
      <c r="E9" s="3" t="s">
        <v>13</v>
      </c>
      <c r="F9" s="4" t="n">
        <v>0.8</v>
      </c>
      <c r="G9" s="5" t="n">
        <v>1</v>
      </c>
      <c r="H9" s="2" t="n">
        <v>2</v>
      </c>
      <c r="I9" s="6" t="n">
        <v>0</v>
      </c>
      <c r="J9" s="3" t="s">
        <v>14</v>
      </c>
    </row>
    <row r="10" customFormat="false" ht="15" hidden="false" customHeight="false" outlineLevel="0" collapsed="false">
      <c r="A10" s="2" t="n">
        <v>9</v>
      </c>
      <c r="B10" s="3" t="s">
        <v>20</v>
      </c>
      <c r="C10" s="3" t="s">
        <v>11</v>
      </c>
      <c r="D10" s="3" t="s">
        <v>17</v>
      </c>
      <c r="E10" s="3" t="s">
        <v>18</v>
      </c>
      <c r="F10" s="4" t="n">
        <v>0.45</v>
      </c>
      <c r="G10" s="5" t="n">
        <v>3.4</v>
      </c>
      <c r="H10" s="2" t="n">
        <v>7</v>
      </c>
      <c r="I10" s="6" t="n">
        <v>75</v>
      </c>
      <c r="J10" s="3" t="s">
        <v>19</v>
      </c>
    </row>
    <row r="11" customFormat="false" ht="15" hidden="false" customHeight="false" outlineLevel="0" collapsed="false">
      <c r="A11" s="2" t="n">
        <v>10</v>
      </c>
      <c r="B11" s="3" t="s">
        <v>10</v>
      </c>
      <c r="C11" s="3" t="s">
        <v>16</v>
      </c>
      <c r="D11" s="3" t="s">
        <v>12</v>
      </c>
      <c r="E11" s="3" t="s">
        <v>18</v>
      </c>
      <c r="F11" s="4" t="n">
        <v>0.35</v>
      </c>
      <c r="G11" s="5" t="n">
        <v>3.7</v>
      </c>
      <c r="H11" s="2" t="n">
        <v>9</v>
      </c>
      <c r="I11" s="6" t="n">
        <v>120</v>
      </c>
      <c r="J11" s="3" t="s">
        <v>19</v>
      </c>
    </row>
    <row r="12" customFormat="false" ht="15" hidden="false" customHeight="false" outlineLevel="0" collapsed="false">
      <c r="A12" s="2" t="n">
        <v>11</v>
      </c>
      <c r="B12" s="3" t="s">
        <v>15</v>
      </c>
      <c r="C12" s="3" t="s">
        <v>22</v>
      </c>
      <c r="D12" s="3" t="s">
        <v>21</v>
      </c>
      <c r="E12" s="3" t="s">
        <v>13</v>
      </c>
      <c r="F12" s="4" t="n">
        <v>0.7</v>
      </c>
      <c r="G12" s="5" t="n">
        <v>1.8</v>
      </c>
      <c r="H12" s="2" t="n">
        <v>3</v>
      </c>
      <c r="I12" s="6" t="n">
        <v>0</v>
      </c>
      <c r="J12" s="3" t="s">
        <v>14</v>
      </c>
    </row>
    <row r="13" customFormat="false" ht="15" hidden="false" customHeight="false" outlineLevel="0" collapsed="false">
      <c r="A13" s="2" t="n">
        <v>12</v>
      </c>
      <c r="B13" s="3" t="s">
        <v>20</v>
      </c>
      <c r="C13" s="3" t="s">
        <v>11</v>
      </c>
      <c r="D13" s="3" t="s">
        <v>17</v>
      </c>
      <c r="E13" s="3" t="s">
        <v>13</v>
      </c>
      <c r="F13" s="4" t="n">
        <v>0.9</v>
      </c>
      <c r="G13" s="5" t="n">
        <v>0.7</v>
      </c>
      <c r="H13" s="2" t="n">
        <v>1</v>
      </c>
      <c r="I13" s="6" t="n">
        <v>0</v>
      </c>
      <c r="J13" s="3" t="s">
        <v>14</v>
      </c>
    </row>
    <row r="14" customFormat="false" ht="15" hidden="false" customHeight="false" outlineLevel="0" collapsed="false">
      <c r="A14" s="2" t="n">
        <v>13</v>
      </c>
      <c r="B14" s="3" t="s">
        <v>10</v>
      </c>
      <c r="C14" s="3" t="s">
        <v>11</v>
      </c>
      <c r="D14" s="3" t="s">
        <v>17</v>
      </c>
      <c r="E14" s="3" t="s">
        <v>18</v>
      </c>
      <c r="F14" s="4" t="n">
        <v>0.3</v>
      </c>
      <c r="G14" s="5" t="n">
        <v>4.2</v>
      </c>
      <c r="H14" s="2" t="n">
        <v>8</v>
      </c>
      <c r="I14" s="6" t="n">
        <v>95</v>
      </c>
      <c r="J14" s="3" t="s">
        <v>19</v>
      </c>
    </row>
    <row r="15" customFormat="false" ht="15" hidden="false" customHeight="false" outlineLevel="0" collapsed="false">
      <c r="A15" s="2" t="n">
        <v>14</v>
      </c>
      <c r="B15" s="3" t="s">
        <v>15</v>
      </c>
      <c r="C15" s="3" t="s">
        <v>16</v>
      </c>
      <c r="D15" s="3" t="s">
        <v>12</v>
      </c>
      <c r="E15" s="3" t="s">
        <v>18</v>
      </c>
      <c r="F15" s="4" t="n">
        <v>0.25</v>
      </c>
      <c r="G15" s="5" t="n">
        <v>4</v>
      </c>
      <c r="H15" s="2" t="n">
        <v>11</v>
      </c>
      <c r="I15" s="6" t="n">
        <v>180</v>
      </c>
      <c r="J15" s="3" t="s">
        <v>19</v>
      </c>
    </row>
    <row r="16" customFormat="false" ht="15" hidden="false" customHeight="false" outlineLevel="0" collapsed="false">
      <c r="A16" s="2" t="n">
        <v>15</v>
      </c>
      <c r="B16" s="3" t="s">
        <v>20</v>
      </c>
      <c r="C16" s="3" t="s">
        <v>22</v>
      </c>
      <c r="D16" s="3" t="s">
        <v>21</v>
      </c>
      <c r="E16" s="3" t="s">
        <v>13</v>
      </c>
      <c r="F16" s="4" t="n">
        <v>0.6</v>
      </c>
      <c r="G16" s="5" t="n">
        <v>2.3</v>
      </c>
      <c r="H16" s="2" t="n">
        <v>5</v>
      </c>
      <c r="I16" s="6" t="n">
        <v>0</v>
      </c>
      <c r="J16" s="3" t="s">
        <v>14</v>
      </c>
    </row>
    <row r="18" customFormat="false" ht="15" hidden="false" customHeight="false" outlineLevel="0" collapsed="false">
      <c r="A18" s="7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62"/>
  </cols>
  <sheetData>
    <row r="1" customFormat="false" ht="16.15" hidden="false" customHeight="false" outlineLevel="0" collapsed="false">
      <c r="A1" s="8" t="s">
        <v>24</v>
      </c>
    </row>
    <row r="2" customFormat="false" ht="15" hidden="false" customHeight="false" outlineLevel="0" collapsed="false">
      <c r="A2" s="7" t="s">
        <v>25</v>
      </c>
    </row>
    <row r="4" customFormat="false" ht="15" hidden="false" customHeight="false" outlineLevel="0" collapsed="false">
      <c r="A4" s="9" t="s">
        <v>26</v>
      </c>
      <c r="B4" s="9" t="s">
        <v>27</v>
      </c>
      <c r="C4" s="9" t="s">
        <v>28</v>
      </c>
      <c r="D4" s="9" t="s">
        <v>29</v>
      </c>
    </row>
    <row r="5" customFormat="false" ht="15" hidden="false" customHeight="false" outlineLevel="0" collapsed="false">
      <c r="A5" s="10" t="s">
        <v>30</v>
      </c>
      <c r="B5" s="10" t="s">
        <v>31</v>
      </c>
      <c r="C5" s="10" t="n">
        <f aca="false">COUNTBLANK(Dane!$A$2:$J$16)</f>
        <v>0</v>
      </c>
      <c r="D5" s="10" t="str">
        <f aca="false">IF(C5=0,"OK","Do sprawdzenia")</f>
        <v>OK</v>
      </c>
    </row>
    <row r="6" customFormat="false" ht="15" hidden="false" customHeight="false" outlineLevel="0" collapsed="false">
      <c r="A6" s="10" t="s">
        <v>32</v>
      </c>
      <c r="B6" s="10" t="s">
        <v>33</v>
      </c>
      <c r="C6" s="10" t="n">
        <f aca="false">SUMPRODUCT((COUNTIF(Dane!$A$2:$A$16,Dane!$A$2:$A$16)&gt;1)*1)</f>
        <v>0</v>
      </c>
      <c r="D6" s="10" t="str">
        <f aca="false">IF(C6=0,"OK","Do sprawdzenia")</f>
        <v>OK</v>
      </c>
    </row>
    <row r="7" customFormat="false" ht="15" hidden="false" customHeight="false" outlineLevel="0" collapsed="false">
      <c r="A7" s="10" t="s">
        <v>34</v>
      </c>
      <c r="B7" s="10" t="s">
        <v>35</v>
      </c>
      <c r="C7" s="10" t="n">
        <f aca="false">COUNTIFS(Dane!$F$2:$F$16,"&lt;0")+COUNTIFS(Dane!$F$2:$F$16,"&gt;1")</f>
        <v>0</v>
      </c>
      <c r="D7" s="10" t="str">
        <f aca="false">IF(C7=0,"OK","Do sprawdzenia")</f>
        <v>OK</v>
      </c>
    </row>
    <row r="8" customFormat="false" ht="15" hidden="false" customHeight="false" outlineLevel="0" collapsed="false">
      <c r="A8" s="10" t="s">
        <v>34</v>
      </c>
      <c r="B8" s="10" t="s">
        <v>36</v>
      </c>
      <c r="C8" s="10" t="n">
        <f aca="false">COUNTIFS(Dane!$G$2:$G$16,"&lt;=0")+COUNTIFS(Dane!$H$2:$H$16,"&lt;1")</f>
        <v>0</v>
      </c>
      <c r="D8" s="10" t="str">
        <f aca="false">IF(C8=0,"OK","Do sprawdzenia")</f>
        <v>OK</v>
      </c>
    </row>
    <row r="9" customFormat="false" ht="15" hidden="false" customHeight="false" outlineLevel="0" collapsed="false">
      <c r="A9" s="10" t="s">
        <v>37</v>
      </c>
      <c r="B9" s="10" t="s">
        <v>38</v>
      </c>
      <c r="C9" s="10" t="n">
        <f aca="false">COUNTIFS(Dane!$J$2:$J$16,"Tak",Dane!$I$2:$I$16,0)</f>
        <v>0</v>
      </c>
      <c r="D9" s="10" t="str">
        <f aca="false">IF(C9=0,"OK","Do sprawdzenia")</f>
        <v>OK</v>
      </c>
    </row>
    <row r="10" customFormat="false" ht="15" hidden="false" customHeight="false" outlineLevel="0" collapsed="false">
      <c r="A10" s="10" t="s">
        <v>37</v>
      </c>
      <c r="B10" s="10" t="s">
        <v>39</v>
      </c>
      <c r="C10" s="10" t="n">
        <f aca="false">COUNTIFS(Dane!$J$2:$J$16,"Nie",Dane!$I$2:$I$16,"&gt;0")</f>
        <v>0</v>
      </c>
      <c r="D10" s="10" t="str">
        <f aca="false">IF(C10=0,"OK","Do sprawdzenia")</f>
        <v>OK</v>
      </c>
    </row>
    <row r="11" customFormat="false" ht="15" hidden="false" customHeight="false" outlineLevel="0" collapsed="false">
      <c r="A11" s="10" t="s">
        <v>37</v>
      </c>
      <c r="B11" s="10" t="s">
        <v>40</v>
      </c>
      <c r="C11" s="10" t="n">
        <f aca="false">15-(COUNTIF(Dane!$B$2:$B$16,"Google Ads")+COUNTIF(Dane!$B$2:$B$16,"Social Media")+COUNTIF(Dane!$B$2:$B$16,"Organic Search"))</f>
        <v>0</v>
      </c>
      <c r="D11" s="10" t="str">
        <f aca="false">IF(C11=0,"OK","Do sprawdzenia")</f>
        <v>OK</v>
      </c>
    </row>
    <row r="12" customFormat="false" ht="15" hidden="false" customHeight="false" outlineLevel="0" collapsed="false">
      <c r="A12" s="10" t="s">
        <v>37</v>
      </c>
      <c r="B12" s="10" t="s">
        <v>41</v>
      </c>
      <c r="C12" s="10" t="n">
        <f aca="false">15-(COUNTIF(Dane!$C$2:$C$16,"Mobile")+COUNTIF(Dane!$C$2:$C$16,"Desktop")+COUNTIF(Dane!$C$2:$C$16,"Tablet"))</f>
        <v>0</v>
      </c>
      <c r="D12" s="10" t="str">
        <f aca="false">IF(C12=0,"OK","Do sprawdzenia")</f>
        <v>OK</v>
      </c>
    </row>
    <row r="13" customFormat="false" ht="15" hidden="false" customHeight="false" outlineLevel="0" collapsed="false">
      <c r="A13" s="10" t="s">
        <v>42</v>
      </c>
      <c r="B13" s="10" t="s">
        <v>43</v>
      </c>
      <c r="C13" s="10" t="s">
        <v>44</v>
      </c>
      <c r="D13" s="10" t="s">
        <v>45</v>
      </c>
    </row>
    <row r="14" customFormat="false" ht="15" hidden="false" customHeight="false" outlineLevel="0" collapsed="false">
      <c r="A14" s="10" t="s">
        <v>34</v>
      </c>
      <c r="B14" s="10" t="s">
        <v>46</v>
      </c>
      <c r="C14" s="10" t="s">
        <v>47</v>
      </c>
      <c r="D14" s="1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12" min="3" style="0" width="15"/>
  </cols>
  <sheetData>
    <row r="1" customFormat="false" ht="16.15" hidden="false" customHeight="false" outlineLevel="0" collapsed="false">
      <c r="A1" s="8" t="s">
        <v>49</v>
      </c>
    </row>
    <row r="2" customFormat="false" ht="15" hidden="false" customHeight="false" outlineLevel="0" collapsed="false">
      <c r="A2" s="7" t="s">
        <v>50</v>
      </c>
    </row>
    <row r="4" customFormat="false" ht="15" hidden="false" customHeight="false" outlineLevel="0" collapsed="false">
      <c r="A4" s="11" t="s">
        <v>51</v>
      </c>
    </row>
    <row r="5" customFormat="false" ht="42" hidden="false" customHeight="true" outlineLevel="0" collapsed="false">
      <c r="A5" s="12" t="s">
        <v>1</v>
      </c>
      <c r="B5" s="12" t="s">
        <v>52</v>
      </c>
      <c r="C5" s="12" t="s">
        <v>53</v>
      </c>
      <c r="D5" s="12" t="s">
        <v>54</v>
      </c>
      <c r="E5" s="12" t="s">
        <v>55</v>
      </c>
      <c r="F5" s="12" t="s">
        <v>56</v>
      </c>
      <c r="G5" s="12" t="s">
        <v>57</v>
      </c>
      <c r="H5" s="12" t="s">
        <v>58</v>
      </c>
      <c r="I5" s="12" t="s">
        <v>59</v>
      </c>
      <c r="J5" s="12" t="s">
        <v>60</v>
      </c>
      <c r="K5" s="12" t="s">
        <v>61</v>
      </c>
    </row>
    <row r="6" customFormat="false" ht="15" hidden="false" customHeight="false" outlineLevel="0" collapsed="false">
      <c r="A6" s="10" t="s">
        <v>10</v>
      </c>
      <c r="B6" s="13" t="n">
        <f aca="false">COUNTIFS(Dane!$B$2:$B$16,$A6)</f>
        <v>5</v>
      </c>
      <c r="C6" s="13" t="n">
        <f aca="false">COUNTIFS(Dane!$B$2:$B$16,$A6,Dane!$J$2:$J$16,"Tak")</f>
        <v>4</v>
      </c>
      <c r="D6" s="14" t="n">
        <f aca="false">IFERROR(C6/B6,0)</f>
        <v>0.8</v>
      </c>
      <c r="E6" s="14" t="n">
        <f aca="false">AVERAGEIFS(Dane!$F$2:$F$16,Dane!$B$2:$B$16,$A6)</f>
        <v>0.39</v>
      </c>
      <c r="F6" s="15" t="n">
        <f aca="false">AVERAGEIFS(Dane!$G$2:$G$16,Dane!$B$2:$B$16,$A6)</f>
        <v>3.48</v>
      </c>
      <c r="G6" s="16" t="n">
        <f aca="false">AVERAGEIFS(Dane!$H$2:$H$16,Dane!$B$2:$B$16,$A6)</f>
        <v>7.6</v>
      </c>
      <c r="H6" s="17" t="n">
        <f aca="false">SUMIFS(Dane!$I$2:$I$16,Dane!$B$2:$B$16,$A6)</f>
        <v>500</v>
      </c>
      <c r="I6" s="18" t="n">
        <f aca="false">IFERROR(H6/C6,"brak zakupów")</f>
        <v>125</v>
      </c>
      <c r="J6" s="18" t="n">
        <f aca="false">IFERROR(H6/B6,0)</f>
        <v>100</v>
      </c>
      <c r="K6" s="14" t="n">
        <f aca="false">IFERROR(H6/SUM($H$6:$H$8),0)</f>
        <v>0.53475935828877</v>
      </c>
    </row>
    <row r="7" customFormat="false" ht="15" hidden="false" customHeight="false" outlineLevel="0" collapsed="false">
      <c r="A7" s="10" t="s">
        <v>15</v>
      </c>
      <c r="B7" s="13" t="n">
        <f aca="false">COUNTIFS(Dane!$B$2:$B$16,$A7)</f>
        <v>5</v>
      </c>
      <c r="C7" s="13" t="n">
        <f aca="false">COUNTIFS(Dane!$B$2:$B$16,$A7,Dane!$J$2:$J$16,"Tak")</f>
        <v>3</v>
      </c>
      <c r="D7" s="14" t="n">
        <f aca="false">IFERROR(C7/B7,0)</f>
        <v>0.6</v>
      </c>
      <c r="E7" s="14" t="n">
        <f aca="false">AVERAGEIFS(Dane!$F$2:$F$16,Dane!$B$2:$B$16,$A7)</f>
        <v>0.52</v>
      </c>
      <c r="F7" s="15" t="n">
        <f aca="false">AVERAGEIFS(Dane!$G$2:$G$16,Dane!$B$2:$B$16,$A7)</f>
        <v>2.6</v>
      </c>
      <c r="G7" s="16" t="n">
        <f aca="false">AVERAGEIFS(Dane!$H$2:$H$16,Dane!$B$2:$B$16,$A7)</f>
        <v>6</v>
      </c>
      <c r="H7" s="17" t="n">
        <f aca="false">SUMIFS(Dane!$I$2:$I$16,Dane!$B$2:$B$16,$A7)</f>
        <v>360</v>
      </c>
      <c r="I7" s="18" t="n">
        <f aca="false">IFERROR(H7/C7,"brak zakupów")</f>
        <v>120</v>
      </c>
      <c r="J7" s="18" t="n">
        <f aca="false">IFERROR(H7/B7,0)</f>
        <v>72</v>
      </c>
      <c r="K7" s="14" t="n">
        <f aca="false">IFERROR(H7/SUM($H$6:$H$8),0)</f>
        <v>0.385026737967914</v>
      </c>
    </row>
    <row r="8" customFormat="false" ht="15" hidden="false" customHeight="false" outlineLevel="0" collapsed="false">
      <c r="A8" s="10" t="s">
        <v>20</v>
      </c>
      <c r="B8" s="13" t="n">
        <f aca="false">COUNTIFS(Dane!$B$2:$B$16,$A8)</f>
        <v>5</v>
      </c>
      <c r="C8" s="13" t="n">
        <f aca="false">COUNTIFS(Dane!$B$2:$B$16,$A8,Dane!$J$2:$J$16,"Tak")</f>
        <v>1</v>
      </c>
      <c r="D8" s="14" t="n">
        <f aca="false">IFERROR(C8/B8,0)</f>
        <v>0.2</v>
      </c>
      <c r="E8" s="14" t="n">
        <f aca="false">AVERAGEIFS(Dane!$F$2:$F$16,Dane!$B$2:$B$16,$A8)</f>
        <v>0.66</v>
      </c>
      <c r="F8" s="15" t="n">
        <f aca="false">AVERAGEIFS(Dane!$G$2:$G$16,Dane!$B$2:$B$16,$A8)</f>
        <v>1.96</v>
      </c>
      <c r="G8" s="16" t="n">
        <f aca="false">AVERAGEIFS(Dane!$H$2:$H$16,Dane!$B$2:$B$16,$A8)</f>
        <v>4</v>
      </c>
      <c r="H8" s="17" t="n">
        <f aca="false">SUMIFS(Dane!$I$2:$I$16,Dane!$B$2:$B$16,$A8)</f>
        <v>75</v>
      </c>
      <c r="I8" s="18" t="n">
        <f aca="false">IFERROR(H8/C8,"brak zakupów")</f>
        <v>75</v>
      </c>
      <c r="J8" s="18" t="n">
        <f aca="false">IFERROR(H8/B8,0)</f>
        <v>15</v>
      </c>
      <c r="K8" s="14" t="n">
        <f aca="false">IFERROR(H8/SUM($H$6:$H$8),0)</f>
        <v>0.0802139037433155</v>
      </c>
    </row>
    <row r="9" customFormat="false" ht="15" hidden="false" customHeight="false" outlineLevel="0" collapsed="false">
      <c r="A9" s="19" t="s">
        <v>62</v>
      </c>
      <c r="B9" s="20" t="n">
        <f aca="false">SUM(B6:B8)</f>
        <v>15</v>
      </c>
      <c r="C9" s="20" t="n">
        <f aca="false">SUM(C6:C8)</f>
        <v>8</v>
      </c>
      <c r="D9" s="21" t="n">
        <f aca="false">IFERROR(C9/B9,0)</f>
        <v>0.533333333333333</v>
      </c>
      <c r="E9" s="21" t="n">
        <f aca="false">AVERAGE(Dane!$F$2:$F$16)</f>
        <v>0.523333333333333</v>
      </c>
      <c r="F9" s="22" t="n">
        <f aca="false">AVERAGE(Dane!$G$2:$G$16)</f>
        <v>2.68</v>
      </c>
      <c r="G9" s="23" t="n">
        <f aca="false">AVERAGE(Dane!$H$2:$H$16)</f>
        <v>5.86666666666667</v>
      </c>
      <c r="H9" s="24" t="n">
        <f aca="false">SUM(H6:H8)</f>
        <v>935</v>
      </c>
      <c r="I9" s="25" t="n">
        <f aca="false">IFERROR(H9/C9,0)</f>
        <v>116.875</v>
      </c>
      <c r="J9" s="25" t="n">
        <f aca="false">IFERROR(H9/B9,0)</f>
        <v>62.3333333333333</v>
      </c>
      <c r="K9" s="21" t="n">
        <f aca="false">IFERROR(H9/H9,0)</f>
        <v>1</v>
      </c>
    </row>
    <row r="12" customFormat="false" ht="15" hidden="false" customHeight="false" outlineLevel="0" collapsed="false">
      <c r="A12" s="11" t="s">
        <v>63</v>
      </c>
    </row>
    <row r="13" customFormat="false" ht="42" hidden="false" customHeight="true" outlineLevel="0" collapsed="false">
      <c r="A13" s="12" t="s">
        <v>2</v>
      </c>
      <c r="B13" s="12" t="s">
        <v>52</v>
      </c>
      <c r="C13" s="12" t="s">
        <v>53</v>
      </c>
      <c r="D13" s="12" t="s">
        <v>54</v>
      </c>
      <c r="E13" s="12" t="s">
        <v>55</v>
      </c>
      <c r="F13" s="12" t="s">
        <v>56</v>
      </c>
      <c r="G13" s="12" t="s">
        <v>57</v>
      </c>
      <c r="H13" s="12" t="s">
        <v>58</v>
      </c>
      <c r="I13" s="12" t="s">
        <v>59</v>
      </c>
      <c r="J13" s="12" t="s">
        <v>60</v>
      </c>
      <c r="K13" s="12" t="s">
        <v>61</v>
      </c>
    </row>
    <row r="14" customFormat="false" ht="15" hidden="false" customHeight="false" outlineLevel="0" collapsed="false">
      <c r="A14" s="10" t="s">
        <v>11</v>
      </c>
      <c r="B14" s="13" t="n">
        <f aca="false">COUNTIFS(Dane!$C$2:$C$16,$A14)</f>
        <v>7</v>
      </c>
      <c r="C14" s="13" t="n">
        <f aca="false">COUNTIFS(Dane!$C$2:$C$16,$A14,Dane!$J$2:$J$16,"Tak")</f>
        <v>3</v>
      </c>
      <c r="D14" s="14" t="n">
        <f aca="false">IFERROR(C14/B14,0)</f>
        <v>0.428571428571429</v>
      </c>
      <c r="E14" s="14" t="n">
        <f aca="false">AVERAGEIFS(Dane!$F$2:$F$16,Dane!$C$2:$C$16,$A14)</f>
        <v>0.671428571428572</v>
      </c>
      <c r="F14" s="15" t="n">
        <f aca="false">AVERAGEIFS(Dane!$G$2:$G$16,Dane!$C$2:$C$16,$A14)</f>
        <v>1.87142857142857</v>
      </c>
      <c r="G14" s="16" t="n">
        <f aca="false">AVERAGEIFS(Dane!$H$2:$H$16,Dane!$C$2:$C$16,$A14)</f>
        <v>3.85714285714286</v>
      </c>
      <c r="H14" s="17" t="n">
        <f aca="false">SUMIFS(Dane!$I$2:$I$16,Dane!$C$2:$C$16,$A14)</f>
        <v>200</v>
      </c>
      <c r="I14" s="18" t="n">
        <f aca="false">IFERROR(H14/C14,"brak zakupów")</f>
        <v>66.6666666666667</v>
      </c>
      <c r="J14" s="18" t="n">
        <f aca="false">IFERROR(H14/B14,0)</f>
        <v>28.5714285714286</v>
      </c>
      <c r="K14" s="14" t="n">
        <f aca="false">IFERROR(H14/SUM($H$14:$H$16),0)</f>
        <v>0.213903743315508</v>
      </c>
    </row>
    <row r="15" customFormat="false" ht="15" hidden="false" customHeight="false" outlineLevel="0" collapsed="false">
      <c r="A15" s="10" t="s">
        <v>16</v>
      </c>
      <c r="B15" s="13" t="n">
        <f aca="false">COUNTIFS(Dane!$C$2:$C$16,$A15)</f>
        <v>5</v>
      </c>
      <c r="C15" s="13" t="n">
        <f aca="false">COUNTIFS(Dane!$C$2:$C$16,$A15,Dane!$J$2:$J$16,"Tak")</f>
        <v>4</v>
      </c>
      <c r="D15" s="14" t="n">
        <f aca="false">IFERROR(C15/B15,0)</f>
        <v>0.8</v>
      </c>
      <c r="E15" s="14" t="n">
        <f aca="false">AVERAGEIFS(Dane!$F$2:$F$16,Dane!$C$2:$C$16,$A15)</f>
        <v>0.29</v>
      </c>
      <c r="F15" s="15" t="n">
        <f aca="false">AVERAGEIFS(Dane!$G$2:$G$16,Dane!$C$2:$C$16,$A15)</f>
        <v>3.98</v>
      </c>
      <c r="G15" s="16" t="n">
        <f aca="false">AVERAGEIFS(Dane!$H$2:$H$16,Dane!$C$2:$C$16,$A15)</f>
        <v>9.4</v>
      </c>
      <c r="H15" s="17" t="n">
        <f aca="false">SUMIFS(Dane!$I$2:$I$16,Dane!$C$2:$C$16,$A15)</f>
        <v>650</v>
      </c>
      <c r="I15" s="18" t="n">
        <f aca="false">IFERROR(H15/C15,"brak zakupów")</f>
        <v>162.5</v>
      </c>
      <c r="J15" s="18" t="n">
        <f aca="false">IFERROR(H15/B15,0)</f>
        <v>130</v>
      </c>
      <c r="K15" s="14" t="n">
        <f aca="false">IFERROR(H15/SUM($H$14:$H$16),0)</f>
        <v>0.695187165775401</v>
      </c>
    </row>
    <row r="16" customFormat="false" ht="15" hidden="false" customHeight="false" outlineLevel="0" collapsed="false">
      <c r="A16" s="10" t="s">
        <v>22</v>
      </c>
      <c r="B16" s="13" t="n">
        <f aca="false">COUNTIFS(Dane!$C$2:$C$16,$A16)</f>
        <v>3</v>
      </c>
      <c r="C16" s="13" t="n">
        <f aca="false">COUNTIFS(Dane!$C$2:$C$16,$A16,Dane!$J$2:$J$16,"Tak")</f>
        <v>1</v>
      </c>
      <c r="D16" s="14" t="n">
        <f aca="false">IFERROR(C16/B16,0)</f>
        <v>0.333333333333333</v>
      </c>
      <c r="E16" s="14" t="n">
        <f aca="false">AVERAGEIFS(Dane!$F$2:$F$16,Dane!$C$2:$C$16,$A16)</f>
        <v>0.566666666666667</v>
      </c>
      <c r="F16" s="15" t="n">
        <f aca="false">AVERAGEIFS(Dane!$G$2:$G$16,Dane!$C$2:$C$16,$A16)</f>
        <v>2.4</v>
      </c>
      <c r="G16" s="16" t="n">
        <f aca="false">AVERAGEIFS(Dane!$H$2:$H$16,Dane!$C$2:$C$16,$A16)</f>
        <v>4.66666666666667</v>
      </c>
      <c r="H16" s="17" t="n">
        <f aca="false">SUMIFS(Dane!$I$2:$I$16,Dane!$C$2:$C$16,$A16)</f>
        <v>85</v>
      </c>
      <c r="I16" s="18" t="n">
        <f aca="false">IFERROR(H16/C16,"brak zakupów")</f>
        <v>85</v>
      </c>
      <c r="J16" s="18" t="n">
        <f aca="false">IFERROR(H16/B16,0)</f>
        <v>28.3333333333333</v>
      </c>
      <c r="K16" s="14" t="n">
        <f aca="false">IFERROR(H16/SUM($H$14:$H$16),0)</f>
        <v>0.0909090909090909</v>
      </c>
    </row>
    <row r="17" customFormat="false" ht="15" hidden="false" customHeight="false" outlineLevel="0" collapsed="false">
      <c r="A17" s="19" t="s">
        <v>62</v>
      </c>
      <c r="B17" s="20" t="n">
        <f aca="false">SUM(B14:B16)</f>
        <v>15</v>
      </c>
      <c r="C17" s="20" t="n">
        <f aca="false">SUM(C14:C16)</f>
        <v>8</v>
      </c>
      <c r="D17" s="21" t="n">
        <f aca="false">IFERROR(C17/B17,0)</f>
        <v>0.533333333333333</v>
      </c>
      <c r="E17" s="21" t="n">
        <f aca="false">AVERAGE(Dane!$F$2:$F$16)</f>
        <v>0.523333333333333</v>
      </c>
      <c r="F17" s="22" t="n">
        <f aca="false">AVERAGE(Dane!$G$2:$G$16)</f>
        <v>2.68</v>
      </c>
      <c r="G17" s="23" t="n">
        <f aca="false">AVERAGE(Dane!$H$2:$H$16)</f>
        <v>5.86666666666667</v>
      </c>
      <c r="H17" s="24" t="n">
        <f aca="false">SUM(H14:H16)</f>
        <v>935</v>
      </c>
      <c r="I17" s="25" t="n">
        <f aca="false">IFERROR(H17/C17,0)</f>
        <v>116.875</v>
      </c>
      <c r="J17" s="25" t="n">
        <f aca="false">IFERROR(H17/B17,0)</f>
        <v>62.3333333333333</v>
      </c>
      <c r="K17" s="21" t="n">
        <f aca="false">IFERROR(H17/H17,0)</f>
        <v>1</v>
      </c>
    </row>
    <row r="20" customFormat="false" ht="15" hidden="false" customHeight="false" outlineLevel="0" collapsed="false">
      <c r="A20" s="11" t="s">
        <v>64</v>
      </c>
    </row>
    <row r="21" customFormat="false" ht="42" hidden="false" customHeight="true" outlineLevel="0" collapsed="false">
      <c r="A21" s="12" t="s">
        <v>3</v>
      </c>
      <c r="B21" s="12" t="s">
        <v>52</v>
      </c>
      <c r="C21" s="12" t="s">
        <v>53</v>
      </c>
      <c r="D21" s="12" t="s">
        <v>54</v>
      </c>
      <c r="E21" s="12" t="s">
        <v>55</v>
      </c>
      <c r="F21" s="12" t="s">
        <v>56</v>
      </c>
      <c r="G21" s="12" t="s">
        <v>57</v>
      </c>
      <c r="H21" s="12" t="s">
        <v>58</v>
      </c>
      <c r="I21" s="12" t="s">
        <v>59</v>
      </c>
      <c r="J21" s="12" t="s">
        <v>60</v>
      </c>
      <c r="K21" s="12" t="s">
        <v>61</v>
      </c>
    </row>
    <row r="22" customFormat="false" ht="15" hidden="false" customHeight="false" outlineLevel="0" collapsed="false">
      <c r="A22" s="10" t="s">
        <v>12</v>
      </c>
      <c r="B22" s="13" t="n">
        <f aca="false">COUNTIFS(Dane!$D$2:$D$16,$A22)</f>
        <v>6</v>
      </c>
      <c r="C22" s="13" t="n">
        <f aca="false">COUNTIFS(Dane!$D$2:$D$16,$A22,Dane!$J$2:$J$16,"Tak")</f>
        <v>3</v>
      </c>
      <c r="D22" s="14" t="n">
        <f aca="false">IFERROR(C22/B22,0)</f>
        <v>0.5</v>
      </c>
      <c r="E22" s="14" t="n">
        <f aca="false">AVERAGEIFS(Dane!$F$2:$F$16,Dane!$D$2:$D$16,$A22)</f>
        <v>0.508333333333333</v>
      </c>
      <c r="F22" s="15" t="n">
        <f aca="false">AVERAGEIFS(Dane!$G$2:$G$16,Dane!$D$2:$D$16,$A22)</f>
        <v>2.58333333333333</v>
      </c>
      <c r="G22" s="16" t="n">
        <f aca="false">AVERAGEIFS(Dane!$H$2:$H$16,Dane!$D$2:$D$16,$A22)</f>
        <v>6</v>
      </c>
      <c r="H22" s="17" t="n">
        <f aca="false">SUMIFS(Dane!$I$2:$I$16,Dane!$D$2:$D$16,$A22)</f>
        <v>385</v>
      </c>
      <c r="I22" s="18" t="n">
        <f aca="false">IFERROR(H22/C22,"brak zakupów")</f>
        <v>128.333333333333</v>
      </c>
      <c r="J22" s="18" t="n">
        <f aca="false">IFERROR(H22/B22,0)</f>
        <v>64.1666666666667</v>
      </c>
      <c r="K22" s="14" t="n">
        <f aca="false">IFERROR(H22/SUM($H$22:$H$24),0)</f>
        <v>0.411764705882353</v>
      </c>
    </row>
    <row r="23" customFormat="false" ht="15" hidden="false" customHeight="false" outlineLevel="0" collapsed="false">
      <c r="A23" s="10" t="s">
        <v>17</v>
      </c>
      <c r="B23" s="13" t="n">
        <f aca="false">COUNTIFS(Dane!$D$2:$D$16,$A23)</f>
        <v>5</v>
      </c>
      <c r="C23" s="13" t="n">
        <f aca="false">COUNTIFS(Dane!$D$2:$D$16,$A23,Dane!$J$2:$J$16,"Tak")</f>
        <v>4</v>
      </c>
      <c r="D23" s="14" t="n">
        <f aca="false">IFERROR(C23/B23,0)</f>
        <v>0.8</v>
      </c>
      <c r="E23" s="14" t="n">
        <f aca="false">AVERAGEIFS(Dane!$F$2:$F$16,Dane!$D$2:$D$16,$A23)</f>
        <v>0.5</v>
      </c>
      <c r="F23" s="15" t="n">
        <f aca="false">AVERAGEIFS(Dane!$G$2:$G$16,Dane!$D$2:$D$16,$A23)</f>
        <v>2.9</v>
      </c>
      <c r="G23" s="16" t="n">
        <f aca="false">AVERAGEIFS(Dane!$H$2:$H$16,Dane!$D$2:$D$16,$A23)</f>
        <v>6</v>
      </c>
      <c r="H23" s="17" t="n">
        <f aca="false">SUMIFS(Dane!$I$2:$I$16,Dane!$D$2:$D$16,$A23)</f>
        <v>350</v>
      </c>
      <c r="I23" s="18" t="n">
        <f aca="false">IFERROR(H23/C23,"brak zakupów")</f>
        <v>87.5</v>
      </c>
      <c r="J23" s="18" t="n">
        <f aca="false">IFERROR(H23/B23,0)</f>
        <v>70</v>
      </c>
      <c r="K23" s="14" t="n">
        <f aca="false">IFERROR(H23/SUM($H$22:$H$24),0)</f>
        <v>0.374331550802139</v>
      </c>
    </row>
    <row r="24" customFormat="false" ht="15" hidden="false" customHeight="false" outlineLevel="0" collapsed="false">
      <c r="A24" s="10" t="s">
        <v>21</v>
      </c>
      <c r="B24" s="13" t="n">
        <f aca="false">COUNTIFS(Dane!$D$2:$D$16,$A24)</f>
        <v>4</v>
      </c>
      <c r="C24" s="13" t="n">
        <f aca="false">COUNTIFS(Dane!$D$2:$D$16,$A24,Dane!$J$2:$J$16,"Tak")</f>
        <v>1</v>
      </c>
      <c r="D24" s="14" t="n">
        <f aca="false">IFERROR(C24/B24,0)</f>
        <v>0.25</v>
      </c>
      <c r="E24" s="14" t="n">
        <f aca="false">AVERAGEIFS(Dane!$F$2:$F$16,Dane!$D$2:$D$16,$A24)</f>
        <v>0.575</v>
      </c>
      <c r="F24" s="15" t="n">
        <f aca="false">AVERAGEIFS(Dane!$G$2:$G$16,Dane!$D$2:$D$16,$A24)</f>
        <v>2.55</v>
      </c>
      <c r="G24" s="16" t="n">
        <f aca="false">AVERAGEIFS(Dane!$H$2:$H$16,Dane!$D$2:$D$16,$A24)</f>
        <v>5.5</v>
      </c>
      <c r="H24" s="17" t="n">
        <f aca="false">SUMIFS(Dane!$I$2:$I$16,Dane!$D$2:$D$16,$A24)</f>
        <v>200</v>
      </c>
      <c r="I24" s="18" t="n">
        <f aca="false">IFERROR(H24/C24,"brak zakupów")</f>
        <v>200</v>
      </c>
      <c r="J24" s="18" t="n">
        <f aca="false">IFERROR(H24/B24,0)</f>
        <v>50</v>
      </c>
      <c r="K24" s="14" t="n">
        <f aca="false">IFERROR(H24/SUM($H$22:$H$24),0)</f>
        <v>0.213903743315508</v>
      </c>
    </row>
    <row r="25" customFormat="false" ht="15" hidden="false" customHeight="false" outlineLevel="0" collapsed="false">
      <c r="A25" s="19" t="s">
        <v>62</v>
      </c>
      <c r="B25" s="20" t="n">
        <f aca="false">SUM(B22:B24)</f>
        <v>15</v>
      </c>
      <c r="C25" s="20" t="n">
        <f aca="false">SUM(C22:C24)</f>
        <v>8</v>
      </c>
      <c r="D25" s="21" t="n">
        <f aca="false">IFERROR(C25/B25,0)</f>
        <v>0.533333333333333</v>
      </c>
      <c r="E25" s="21" t="n">
        <f aca="false">AVERAGE(Dane!$F$2:$F$16)</f>
        <v>0.523333333333333</v>
      </c>
      <c r="F25" s="22" t="n">
        <f aca="false">AVERAGE(Dane!$G$2:$G$16)</f>
        <v>2.68</v>
      </c>
      <c r="G25" s="23" t="n">
        <f aca="false">AVERAGE(Dane!$H$2:$H$16)</f>
        <v>5.86666666666667</v>
      </c>
      <c r="H25" s="24" t="n">
        <f aca="false">SUM(H22:H24)</f>
        <v>935</v>
      </c>
      <c r="I25" s="25" t="n">
        <f aca="false">IFERROR(H25/C25,0)</f>
        <v>116.875</v>
      </c>
      <c r="J25" s="25" t="n">
        <f aca="false">IFERROR(H25/B25,0)</f>
        <v>62.3333333333333</v>
      </c>
      <c r="K25" s="21" t="n">
        <f aca="false">IFERROR(H25/H25,0)</f>
        <v>1</v>
      </c>
    </row>
    <row r="28" customFormat="false" ht="15" hidden="false" customHeight="false" outlineLevel="0" collapsed="false">
      <c r="A28" s="11" t="s">
        <v>65</v>
      </c>
    </row>
    <row r="29" customFormat="false" ht="42" hidden="false" customHeight="true" outlineLevel="0" collapsed="false">
      <c r="A29" s="12" t="s">
        <v>66</v>
      </c>
      <c r="B29" s="12" t="s">
        <v>52</v>
      </c>
      <c r="C29" s="12" t="s">
        <v>53</v>
      </c>
      <c r="D29" s="12" t="s">
        <v>54</v>
      </c>
      <c r="E29" s="12" t="s">
        <v>55</v>
      </c>
      <c r="F29" s="12" t="s">
        <v>56</v>
      </c>
      <c r="G29" s="12" t="s">
        <v>57</v>
      </c>
      <c r="H29" s="12" t="s">
        <v>58</v>
      </c>
      <c r="I29" s="12" t="s">
        <v>59</v>
      </c>
      <c r="J29" s="12" t="s">
        <v>60</v>
      </c>
      <c r="K29" s="12" t="s">
        <v>61</v>
      </c>
    </row>
    <row r="30" customFormat="false" ht="15" hidden="false" customHeight="false" outlineLevel="0" collapsed="false">
      <c r="A30" s="10" t="s">
        <v>13</v>
      </c>
      <c r="B30" s="13" t="n">
        <f aca="false">COUNTIFS(Dane!$E$2:$E$16,$A30)</f>
        <v>8</v>
      </c>
      <c r="C30" s="13" t="n">
        <f aca="false">COUNTIFS(Dane!$E$2:$E$16,$A30,Dane!$J$2:$J$16,"Tak")</f>
        <v>1</v>
      </c>
      <c r="D30" s="14" t="n">
        <f aca="false">IFERROR(C30/B30,0)</f>
        <v>0.125</v>
      </c>
      <c r="E30" s="14" t="n">
        <f aca="false">AVERAGEIFS(Dane!$F$2:$F$16,Dane!$E$2:$E$16,$A30)</f>
        <v>0.71875</v>
      </c>
      <c r="F30" s="15" t="n">
        <f aca="false">AVERAGEIFS(Dane!$G$2:$G$16,Dane!$E$2:$E$16,$A30)</f>
        <v>1.5125</v>
      </c>
      <c r="G30" s="16" t="n">
        <f aca="false">AVERAGEIFS(Dane!$H$2:$H$16,Dane!$E$2:$E$16,$A30)</f>
        <v>3.125</v>
      </c>
      <c r="H30" s="17" t="n">
        <f aca="false">SUMIFS(Dane!$I$2:$I$16,Dane!$E$2:$E$16,$A30)</f>
        <v>30</v>
      </c>
      <c r="I30" s="18" t="n">
        <f aca="false">IFERROR(H30/C30,"brak zakupów")</f>
        <v>30</v>
      </c>
      <c r="J30" s="18" t="n">
        <f aca="false">IFERROR(H30/B30,0)</f>
        <v>3.75</v>
      </c>
      <c r="K30" s="14" t="n">
        <f aca="false">IFERROR(H30/SUM($H$30:$H$31),0)</f>
        <v>0.0320855614973262</v>
      </c>
    </row>
    <row r="31" customFormat="false" ht="15" hidden="false" customHeight="false" outlineLevel="0" collapsed="false">
      <c r="A31" s="10" t="s">
        <v>18</v>
      </c>
      <c r="B31" s="13" t="n">
        <f aca="false">COUNTIFS(Dane!$E$2:$E$16,$A31)</f>
        <v>7</v>
      </c>
      <c r="C31" s="13" t="n">
        <f aca="false">COUNTIFS(Dane!$E$2:$E$16,$A31,Dane!$J$2:$J$16,"Tak")</f>
        <v>7</v>
      </c>
      <c r="D31" s="14" t="n">
        <f aca="false">IFERROR(C31/B31,0)</f>
        <v>1</v>
      </c>
      <c r="E31" s="14" t="n">
        <f aca="false">AVERAGEIFS(Dane!$F$2:$F$16,Dane!$E$2:$E$16,$A31)</f>
        <v>0.3</v>
      </c>
      <c r="F31" s="15" t="n">
        <f aca="false">AVERAGEIFS(Dane!$G$2:$G$16,Dane!$E$2:$E$16,$A31)</f>
        <v>4.01428571428571</v>
      </c>
      <c r="G31" s="16" t="n">
        <f aca="false">AVERAGEIFS(Dane!$H$2:$H$16,Dane!$E$2:$E$16,$A31)</f>
        <v>9</v>
      </c>
      <c r="H31" s="17" t="n">
        <f aca="false">SUMIFS(Dane!$I$2:$I$16,Dane!$E$2:$E$16,$A31)</f>
        <v>905</v>
      </c>
      <c r="I31" s="18" t="n">
        <f aca="false">IFERROR(H31/C31,"brak zakupów")</f>
        <v>129.285714285714</v>
      </c>
      <c r="J31" s="18" t="n">
        <f aca="false">IFERROR(H31/B31,0)</f>
        <v>129.285714285714</v>
      </c>
      <c r="K31" s="14" t="n">
        <f aca="false">IFERROR(H31/SUM($H$30:$H$31),0)</f>
        <v>0.967914438502674</v>
      </c>
    </row>
    <row r="32" customFormat="false" ht="15" hidden="false" customHeight="false" outlineLevel="0" collapsed="false">
      <c r="A32" s="19" t="s">
        <v>62</v>
      </c>
      <c r="B32" s="20" t="n">
        <f aca="false">SUM(B30:B31)</f>
        <v>15</v>
      </c>
      <c r="C32" s="20" t="n">
        <f aca="false">SUM(C30:C31)</f>
        <v>8</v>
      </c>
      <c r="D32" s="21" t="n">
        <f aca="false">IFERROR(C32/B32,0)</f>
        <v>0.533333333333333</v>
      </c>
      <c r="E32" s="21" t="n">
        <f aca="false">AVERAGE(Dane!$F$2:$F$16)</f>
        <v>0.523333333333333</v>
      </c>
      <c r="F32" s="22" t="n">
        <f aca="false">AVERAGE(Dane!$G$2:$G$16)</f>
        <v>2.68</v>
      </c>
      <c r="G32" s="23" t="n">
        <f aca="false">AVERAGE(Dane!$H$2:$H$16)</f>
        <v>5.86666666666667</v>
      </c>
      <c r="H32" s="24" t="n">
        <f aca="false">SUM(H30:H31)</f>
        <v>935</v>
      </c>
      <c r="I32" s="25" t="n">
        <f aca="false">IFERROR(H32/C32,0)</f>
        <v>116.875</v>
      </c>
      <c r="J32" s="25" t="n">
        <f aca="false">IFERROR(H32/B32,0)</f>
        <v>62.3333333333333</v>
      </c>
      <c r="K32" s="21" t="n">
        <f aca="false">IFERROR(H32/H32,0)</f>
        <v>1</v>
      </c>
    </row>
    <row r="35" customFormat="false" ht="15" hidden="false" customHeight="false" outlineLevel="0" collapsed="false">
      <c r="A35" s="11" t="s">
        <v>67</v>
      </c>
    </row>
    <row r="36" customFormat="false" ht="42" hidden="false" customHeight="true" outlineLevel="0" collapsed="false">
      <c r="A36" s="12" t="s">
        <v>1</v>
      </c>
      <c r="B36" s="12" t="s">
        <v>4</v>
      </c>
      <c r="C36" s="12" t="s">
        <v>52</v>
      </c>
      <c r="D36" s="12" t="s">
        <v>53</v>
      </c>
      <c r="E36" s="12" t="s">
        <v>54</v>
      </c>
      <c r="F36" s="12" t="s">
        <v>55</v>
      </c>
      <c r="G36" s="12" t="s">
        <v>56</v>
      </c>
      <c r="H36" s="12" t="s">
        <v>57</v>
      </c>
      <c r="I36" s="12" t="s">
        <v>58</v>
      </c>
      <c r="J36" s="12" t="s">
        <v>59</v>
      </c>
      <c r="K36" s="12" t="s">
        <v>60</v>
      </c>
    </row>
    <row r="37" customFormat="false" ht="15" hidden="false" customHeight="false" outlineLevel="0" collapsed="false">
      <c r="A37" s="10" t="s">
        <v>10</v>
      </c>
      <c r="B37" s="10" t="s">
        <v>13</v>
      </c>
      <c r="C37" s="13" t="n">
        <f aca="false">COUNTIFS(Dane!$B$2:$B$16,$A37,Dane!$E$2:$E$16,$B37)</f>
        <v>1</v>
      </c>
      <c r="D37" s="13" t="n">
        <f aca="false">COUNTIFS(Dane!$B$2:$B$16,$A37,Dane!$E$2:$E$16,$B37,Dane!$J$2:$J$16,"Tak")</f>
        <v>0</v>
      </c>
      <c r="E37" s="14" t="n">
        <f aca="false">IFERROR(D37/C37,0)</f>
        <v>0</v>
      </c>
      <c r="F37" s="14" t="n">
        <f aca="false">IFERROR(AVERAGEIFS(Dane!$F$2:$F$16,Dane!$B$2:$B$16,$A37,Dane!$E$2:$E$16,$B37),"-")</f>
        <v>0.75</v>
      </c>
      <c r="G37" s="15" t="n">
        <f aca="false">IFERROR(AVERAGEIFS(Dane!$G$2:$G$16,Dane!$B$2:$B$16,$A37,Dane!$E$2:$E$16,$B37),"-")</f>
        <v>1.2</v>
      </c>
      <c r="H37" s="16" t="n">
        <f aca="false">IFERROR(AVERAGEIFS(Dane!$H$2:$H$16,Dane!$B$2:$B$16,$A37,Dane!$E$2:$E$16,$B37),"-")</f>
        <v>3</v>
      </c>
      <c r="I37" s="17" t="n">
        <f aca="false">IFERROR(SUMIFS(Dane!$I$2:$I$16,Dane!$B$2:$B$16,$A37,Dane!$E$2:$E$16,$B37),"-")</f>
        <v>0</v>
      </c>
      <c r="J37" s="18" t="str">
        <f aca="false">IFERROR(I37/D37,"brak zakupów")</f>
        <v>brak zakupów</v>
      </c>
      <c r="K37" s="18" t="n">
        <f aca="false">IFERROR(I37/C37,"-")</f>
        <v>0</v>
      </c>
    </row>
    <row r="38" customFormat="false" ht="15" hidden="false" customHeight="false" outlineLevel="0" collapsed="false">
      <c r="A38" s="10" t="s">
        <v>10</v>
      </c>
      <c r="B38" s="10" t="s">
        <v>18</v>
      </c>
      <c r="C38" s="13" t="n">
        <f aca="false">COUNTIFS(Dane!$B$2:$B$16,$A38,Dane!$E$2:$E$16,$B38)</f>
        <v>4</v>
      </c>
      <c r="D38" s="13" t="n">
        <f aca="false">COUNTIFS(Dane!$B$2:$B$16,$A38,Dane!$E$2:$E$16,$B38,Dane!$J$2:$J$16,"Tak")</f>
        <v>4</v>
      </c>
      <c r="E38" s="14" t="n">
        <f aca="false">IFERROR(D38/C38,0)</f>
        <v>1</v>
      </c>
      <c r="F38" s="14" t="n">
        <f aca="false">IFERROR(AVERAGEIFS(Dane!$F$2:$F$16,Dane!$B$2:$B$16,$A38,Dane!$E$2:$E$16,$B38),"-")</f>
        <v>0.3</v>
      </c>
      <c r="G38" s="15" t="n">
        <f aca="false">IFERROR(AVERAGEIFS(Dane!$G$2:$G$16,Dane!$B$2:$B$16,$A38,Dane!$E$2:$E$16,$B38),"-")</f>
        <v>4.05</v>
      </c>
      <c r="H38" s="16" t="n">
        <f aca="false">IFERROR(AVERAGEIFS(Dane!$H$2:$H$16,Dane!$B$2:$B$16,$A38,Dane!$E$2:$E$16,$B38),"-")</f>
        <v>8.75</v>
      </c>
      <c r="I38" s="17" t="n">
        <f aca="false">IFERROR(SUMIFS(Dane!$I$2:$I$16,Dane!$B$2:$B$16,$A38,Dane!$E$2:$E$16,$B38),"-")</f>
        <v>500</v>
      </c>
      <c r="J38" s="18" t="n">
        <f aca="false">IFERROR(I38/D38,"brak zakupów")</f>
        <v>125</v>
      </c>
      <c r="K38" s="18" t="n">
        <f aca="false">IFERROR(I38/C38,"-")</f>
        <v>125</v>
      </c>
    </row>
    <row r="39" customFormat="false" ht="15" hidden="false" customHeight="false" outlineLevel="0" collapsed="false">
      <c r="A39" s="10" t="s">
        <v>15</v>
      </c>
      <c r="B39" s="10" t="s">
        <v>13</v>
      </c>
      <c r="C39" s="13" t="n">
        <f aca="false">COUNTIFS(Dane!$B$2:$B$16,$A39,Dane!$E$2:$E$16,$B39)</f>
        <v>3</v>
      </c>
      <c r="D39" s="13" t="n">
        <f aca="false">COUNTIFS(Dane!$B$2:$B$16,$A39,Dane!$E$2:$E$16,$B39,Dane!$J$2:$J$16,"Tak")</f>
        <v>1</v>
      </c>
      <c r="E39" s="14" t="n">
        <f aca="false">IFERROR(D39/C39,0)</f>
        <v>0.333333333333333</v>
      </c>
      <c r="F39" s="14" t="n">
        <f aca="false">IFERROR(AVERAGEIFS(Dane!$F$2:$F$16,Dane!$B$2:$B$16,$A39,Dane!$E$2:$E$16,$B39),"-")</f>
        <v>0.716666666666667</v>
      </c>
      <c r="G39" s="15" t="n">
        <f aca="false">IFERROR(AVERAGEIFS(Dane!$G$2:$G$16,Dane!$B$2:$B$16,$A39,Dane!$E$2:$E$16,$B39),"-")</f>
        <v>1.5</v>
      </c>
      <c r="H39" s="16" t="n">
        <f aca="false">IFERROR(AVERAGEIFS(Dane!$H$2:$H$16,Dane!$B$2:$B$16,$A39,Dane!$E$2:$E$16,$B39),"-")</f>
        <v>3</v>
      </c>
      <c r="I39" s="17" t="n">
        <f aca="false">IFERROR(SUMIFS(Dane!$I$2:$I$16,Dane!$B$2:$B$16,$A39,Dane!$E$2:$E$16,$B39),"-")</f>
        <v>30</v>
      </c>
      <c r="J39" s="18" t="n">
        <f aca="false">IFERROR(I39/D39,"brak zakupów")</f>
        <v>30</v>
      </c>
      <c r="K39" s="18" t="n">
        <f aca="false">IFERROR(I39/C39,"-")</f>
        <v>10</v>
      </c>
    </row>
    <row r="40" customFormat="false" ht="15" hidden="false" customHeight="false" outlineLevel="0" collapsed="false">
      <c r="A40" s="10" t="s">
        <v>15</v>
      </c>
      <c r="B40" s="10" t="s">
        <v>18</v>
      </c>
      <c r="C40" s="13" t="n">
        <f aca="false">COUNTIFS(Dane!$B$2:$B$16,$A40,Dane!$E$2:$E$16,$B40)</f>
        <v>2</v>
      </c>
      <c r="D40" s="13" t="n">
        <f aca="false">COUNTIFS(Dane!$B$2:$B$16,$A40,Dane!$E$2:$E$16,$B40,Dane!$J$2:$J$16,"Tak")</f>
        <v>2</v>
      </c>
      <c r="E40" s="14" t="n">
        <f aca="false">IFERROR(D40/C40,0)</f>
        <v>1</v>
      </c>
      <c r="F40" s="14" t="n">
        <f aca="false">IFERROR(AVERAGEIFS(Dane!$F$2:$F$16,Dane!$B$2:$B$16,$A40,Dane!$E$2:$E$16,$B40),"-")</f>
        <v>0.225</v>
      </c>
      <c r="G40" s="15" t="n">
        <f aca="false">IFERROR(AVERAGEIFS(Dane!$G$2:$G$16,Dane!$B$2:$B$16,$A40,Dane!$E$2:$E$16,$B40),"-")</f>
        <v>4.25</v>
      </c>
      <c r="H40" s="16" t="n">
        <f aca="false">IFERROR(AVERAGEIFS(Dane!$H$2:$H$16,Dane!$B$2:$B$16,$A40,Dane!$E$2:$E$16,$B40),"-")</f>
        <v>10.5</v>
      </c>
      <c r="I40" s="17" t="n">
        <f aca="false">IFERROR(SUMIFS(Dane!$I$2:$I$16,Dane!$B$2:$B$16,$A40,Dane!$E$2:$E$16,$B40),"-")</f>
        <v>330</v>
      </c>
      <c r="J40" s="18" t="n">
        <f aca="false">IFERROR(I40/D40,"brak zakupów")</f>
        <v>165</v>
      </c>
      <c r="K40" s="18" t="n">
        <f aca="false">IFERROR(I40/C40,"-")</f>
        <v>165</v>
      </c>
    </row>
    <row r="41" customFormat="false" ht="15" hidden="false" customHeight="false" outlineLevel="0" collapsed="false">
      <c r="A41" s="10" t="s">
        <v>20</v>
      </c>
      <c r="B41" s="10" t="s">
        <v>13</v>
      </c>
      <c r="C41" s="13" t="n">
        <f aca="false">COUNTIFS(Dane!$B$2:$B$16,$A41,Dane!$E$2:$E$16,$B41)</f>
        <v>4</v>
      </c>
      <c r="D41" s="13" t="n">
        <f aca="false">COUNTIFS(Dane!$B$2:$B$16,$A41,Dane!$E$2:$E$16,$B41,Dane!$J$2:$J$16,"Tak")</f>
        <v>0</v>
      </c>
      <c r="E41" s="14" t="n">
        <f aca="false">IFERROR(D41/C41,0)</f>
        <v>0</v>
      </c>
      <c r="F41" s="14" t="n">
        <f aca="false">IFERROR(AVERAGEIFS(Dane!$F$2:$F$16,Dane!$B$2:$B$16,$A41,Dane!$E$2:$E$16,$B41),"-")</f>
        <v>0.7125</v>
      </c>
      <c r="G41" s="15" t="n">
        <f aca="false">IFERROR(AVERAGEIFS(Dane!$G$2:$G$16,Dane!$B$2:$B$16,$A41,Dane!$E$2:$E$16,$B41),"-")</f>
        <v>1.6</v>
      </c>
      <c r="H41" s="16" t="n">
        <f aca="false">IFERROR(AVERAGEIFS(Dane!$H$2:$H$16,Dane!$B$2:$B$16,$A41,Dane!$E$2:$E$16,$B41),"-")</f>
        <v>3.25</v>
      </c>
      <c r="I41" s="17" t="n">
        <f aca="false">IFERROR(SUMIFS(Dane!$I$2:$I$16,Dane!$B$2:$B$16,$A41,Dane!$E$2:$E$16,$B41),"-")</f>
        <v>0</v>
      </c>
      <c r="J41" s="18" t="str">
        <f aca="false">IFERROR(I41/D41,"brak zakupów")</f>
        <v>brak zakupów</v>
      </c>
      <c r="K41" s="18" t="n">
        <f aca="false">IFERROR(I41/C41,"-")</f>
        <v>0</v>
      </c>
    </row>
    <row r="42" customFormat="false" ht="15" hidden="false" customHeight="false" outlineLevel="0" collapsed="false">
      <c r="A42" s="10" t="s">
        <v>20</v>
      </c>
      <c r="B42" s="10" t="s">
        <v>18</v>
      </c>
      <c r="C42" s="13" t="n">
        <f aca="false">COUNTIFS(Dane!$B$2:$B$16,$A42,Dane!$E$2:$E$16,$B42)</f>
        <v>1</v>
      </c>
      <c r="D42" s="13" t="n">
        <f aca="false">COUNTIFS(Dane!$B$2:$B$16,$A42,Dane!$E$2:$E$16,$B42,Dane!$J$2:$J$16,"Tak")</f>
        <v>1</v>
      </c>
      <c r="E42" s="14" t="n">
        <f aca="false">IFERROR(D42/C42,0)</f>
        <v>1</v>
      </c>
      <c r="F42" s="14" t="n">
        <f aca="false">IFERROR(AVERAGEIFS(Dane!$F$2:$F$16,Dane!$B$2:$B$16,$A42,Dane!$E$2:$E$16,$B42),"-")</f>
        <v>0.45</v>
      </c>
      <c r="G42" s="15" t="n">
        <f aca="false">IFERROR(AVERAGEIFS(Dane!$G$2:$G$16,Dane!$B$2:$B$16,$A42,Dane!$E$2:$E$16,$B42),"-")</f>
        <v>3.4</v>
      </c>
      <c r="H42" s="16" t="n">
        <f aca="false">IFERROR(AVERAGEIFS(Dane!$H$2:$H$16,Dane!$B$2:$B$16,$A42,Dane!$E$2:$E$16,$B42),"-")</f>
        <v>7</v>
      </c>
      <c r="I42" s="17" t="n">
        <f aca="false">IFERROR(SUMIFS(Dane!$I$2:$I$16,Dane!$B$2:$B$16,$A42,Dane!$E$2:$E$16,$B42),"-")</f>
        <v>75</v>
      </c>
      <c r="J42" s="18" t="n">
        <f aca="false">IFERROR(I42/D42,"brak zakupów")</f>
        <v>75</v>
      </c>
      <c r="K42" s="18" t="n">
        <f aca="false">IFERROR(I42/C42,"-")</f>
        <v>75</v>
      </c>
    </row>
    <row r="45" customFormat="false" ht="15" hidden="false" customHeight="false" outlineLevel="0" collapsed="false">
      <c r="A45" s="11" t="s">
        <v>68</v>
      </c>
    </row>
    <row r="46" customFormat="false" ht="42" hidden="false" customHeight="true" outlineLevel="0" collapsed="false">
      <c r="A46" s="12" t="s">
        <v>2</v>
      </c>
      <c r="B46" s="12" t="s">
        <v>4</v>
      </c>
      <c r="C46" s="12" t="s">
        <v>52</v>
      </c>
      <c r="D46" s="12" t="s">
        <v>53</v>
      </c>
      <c r="E46" s="12" t="s">
        <v>54</v>
      </c>
      <c r="F46" s="12" t="s">
        <v>55</v>
      </c>
      <c r="G46" s="12" t="s">
        <v>56</v>
      </c>
      <c r="H46" s="12" t="s">
        <v>57</v>
      </c>
      <c r="I46" s="12" t="s">
        <v>58</v>
      </c>
      <c r="J46" s="12" t="s">
        <v>59</v>
      </c>
      <c r="K46" s="12" t="s">
        <v>60</v>
      </c>
    </row>
    <row r="47" customFormat="false" ht="15" hidden="false" customHeight="false" outlineLevel="0" collapsed="false">
      <c r="A47" s="10" t="s">
        <v>11</v>
      </c>
      <c r="B47" s="10" t="s">
        <v>13</v>
      </c>
      <c r="C47" s="13" t="n">
        <f aca="false">COUNTIFS(Dane!$C$2:$C$16,$A47,Dane!$E$2:$E$16,$B47)</f>
        <v>5</v>
      </c>
      <c r="D47" s="13" t="n">
        <f aca="false">COUNTIFS(Dane!$C$2:$C$16,$A47,Dane!$E$2:$E$16,$B47,Dane!$J$2:$J$16,"Tak")</f>
        <v>1</v>
      </c>
      <c r="E47" s="14" t="n">
        <f aca="false">IFERROR(D47/C47,0)</f>
        <v>0.2</v>
      </c>
      <c r="F47" s="14" t="n">
        <f aca="false">IFERROR(AVERAGEIFS(Dane!$F$2:$F$16,Dane!$C$2:$C$16,$A47,Dane!$E$2:$E$16,$B47),"-")</f>
        <v>0.79</v>
      </c>
      <c r="G47" s="15" t="n">
        <f aca="false">IFERROR(AVERAGEIFS(Dane!$G$2:$G$16,Dane!$C$2:$C$16,$A47,Dane!$E$2:$E$16,$B47),"-")</f>
        <v>1.1</v>
      </c>
      <c r="H47" s="16" t="n">
        <f aca="false">IFERROR(AVERAGEIFS(Dane!$H$2:$H$16,Dane!$C$2:$C$16,$A47,Dane!$E$2:$E$16,$B47),"-")</f>
        <v>2.4</v>
      </c>
      <c r="I47" s="17" t="n">
        <f aca="false">IFERROR(SUMIFS(Dane!$I$2:$I$16,Dane!$C$2:$C$16,$A47,Dane!$E$2:$E$16,$B47),"-")</f>
        <v>30</v>
      </c>
      <c r="J47" s="18" t="n">
        <f aca="false">IFERROR(I47/D47,"brak zakupów")</f>
        <v>30</v>
      </c>
      <c r="K47" s="18" t="n">
        <f aca="false">IFERROR(I47/C47,"-")</f>
        <v>6</v>
      </c>
    </row>
    <row r="48" customFormat="false" ht="15" hidden="false" customHeight="false" outlineLevel="0" collapsed="false">
      <c r="A48" s="10" t="s">
        <v>11</v>
      </c>
      <c r="B48" s="10" t="s">
        <v>18</v>
      </c>
      <c r="C48" s="13" t="n">
        <f aca="false">COUNTIFS(Dane!$C$2:$C$16,$A48,Dane!$E$2:$E$16,$B48)</f>
        <v>2</v>
      </c>
      <c r="D48" s="13" t="n">
        <f aca="false">COUNTIFS(Dane!$C$2:$C$16,$A48,Dane!$E$2:$E$16,$B48,Dane!$J$2:$J$16,"Tak")</f>
        <v>2</v>
      </c>
      <c r="E48" s="14" t="n">
        <f aca="false">IFERROR(D48/C48,0)</f>
        <v>1</v>
      </c>
      <c r="F48" s="14" t="n">
        <f aca="false">IFERROR(AVERAGEIFS(Dane!$F$2:$F$16,Dane!$C$2:$C$16,$A48,Dane!$E$2:$E$16,$B48),"-")</f>
        <v>0.375</v>
      </c>
      <c r="G48" s="15" t="n">
        <f aca="false">IFERROR(AVERAGEIFS(Dane!$G$2:$G$16,Dane!$C$2:$C$16,$A48,Dane!$E$2:$E$16,$B48),"-")</f>
        <v>3.8</v>
      </c>
      <c r="H48" s="16" t="n">
        <f aca="false">IFERROR(AVERAGEIFS(Dane!$H$2:$H$16,Dane!$C$2:$C$16,$A48,Dane!$E$2:$E$16,$B48),"-")</f>
        <v>7.5</v>
      </c>
      <c r="I48" s="17" t="n">
        <f aca="false">IFERROR(SUMIFS(Dane!$I$2:$I$16,Dane!$C$2:$C$16,$A48,Dane!$E$2:$E$16,$B48),"-")</f>
        <v>170</v>
      </c>
      <c r="J48" s="18" t="n">
        <f aca="false">IFERROR(I48/D48,"brak zakupów")</f>
        <v>85</v>
      </c>
      <c r="K48" s="18" t="n">
        <f aca="false">IFERROR(I48/C48,"-")</f>
        <v>85</v>
      </c>
    </row>
    <row r="49" customFormat="false" ht="15" hidden="false" customHeight="false" outlineLevel="0" collapsed="false">
      <c r="A49" s="10" t="s">
        <v>16</v>
      </c>
      <c r="B49" s="10" t="s">
        <v>13</v>
      </c>
      <c r="C49" s="13" t="n">
        <f aca="false">COUNTIFS(Dane!$C$2:$C$16,$A49,Dane!$E$2:$E$16,$B49)</f>
        <v>1</v>
      </c>
      <c r="D49" s="13" t="n">
        <f aca="false">COUNTIFS(Dane!$C$2:$C$16,$A49,Dane!$E$2:$E$16,$B49,Dane!$J$2:$J$16,"Tak")</f>
        <v>0</v>
      </c>
      <c r="E49" s="14" t="n">
        <f aca="false">IFERROR(D49/C49,0)</f>
        <v>0</v>
      </c>
      <c r="F49" s="14" t="n">
        <f aca="false">IFERROR(AVERAGEIFS(Dane!$F$2:$F$16,Dane!$C$2:$C$16,$A49,Dane!$E$2:$E$16,$B49),"-")</f>
        <v>0.5</v>
      </c>
      <c r="G49" s="15" t="n">
        <f aca="false">IFERROR(AVERAGEIFS(Dane!$G$2:$G$16,Dane!$C$2:$C$16,$A49,Dane!$E$2:$E$16,$B49),"-")</f>
        <v>2.5</v>
      </c>
      <c r="H49" s="16" t="n">
        <f aca="false">IFERROR(AVERAGEIFS(Dane!$H$2:$H$16,Dane!$C$2:$C$16,$A49,Dane!$E$2:$E$16,$B49),"-")</f>
        <v>5</v>
      </c>
      <c r="I49" s="17" t="n">
        <f aca="false">IFERROR(SUMIFS(Dane!$I$2:$I$16,Dane!$C$2:$C$16,$A49,Dane!$E$2:$E$16,$B49),"-")</f>
        <v>0</v>
      </c>
      <c r="J49" s="18" t="str">
        <f aca="false">IFERROR(I49/D49,"brak zakupów")</f>
        <v>brak zakupów</v>
      </c>
      <c r="K49" s="18" t="n">
        <f aca="false">IFERROR(I49/C49,"-")</f>
        <v>0</v>
      </c>
    </row>
    <row r="50" customFormat="false" ht="15" hidden="false" customHeight="false" outlineLevel="0" collapsed="false">
      <c r="A50" s="10" t="s">
        <v>16</v>
      </c>
      <c r="B50" s="10" t="s">
        <v>18</v>
      </c>
      <c r="C50" s="13" t="n">
        <f aca="false">COUNTIFS(Dane!$C$2:$C$16,$A50,Dane!$E$2:$E$16,$B50)</f>
        <v>4</v>
      </c>
      <c r="D50" s="13" t="n">
        <f aca="false">COUNTIFS(Dane!$C$2:$C$16,$A50,Dane!$E$2:$E$16,$B50,Dane!$J$2:$J$16,"Tak")</f>
        <v>4</v>
      </c>
      <c r="E50" s="14" t="n">
        <f aca="false">IFERROR(D50/C50,0)</f>
        <v>1</v>
      </c>
      <c r="F50" s="14" t="n">
        <f aca="false">IFERROR(AVERAGEIFS(Dane!$F$2:$F$16,Dane!$C$2:$C$16,$A50,Dane!$E$2:$E$16,$B50),"-")</f>
        <v>0.2375</v>
      </c>
      <c r="G50" s="15" t="n">
        <f aca="false">IFERROR(AVERAGEIFS(Dane!$G$2:$G$16,Dane!$C$2:$C$16,$A50,Dane!$E$2:$E$16,$B50),"-")</f>
        <v>4.35</v>
      </c>
      <c r="H50" s="16" t="n">
        <f aca="false">IFERROR(AVERAGEIFS(Dane!$H$2:$H$16,Dane!$C$2:$C$16,$A50,Dane!$E$2:$E$16,$B50),"-")</f>
        <v>10.5</v>
      </c>
      <c r="I50" s="17" t="n">
        <f aca="false">IFERROR(SUMIFS(Dane!$I$2:$I$16,Dane!$C$2:$C$16,$A50,Dane!$E$2:$E$16,$B50),"-")</f>
        <v>650</v>
      </c>
      <c r="J50" s="18" t="n">
        <f aca="false">IFERROR(I50/D50,"brak zakupów")</f>
        <v>162.5</v>
      </c>
      <c r="K50" s="18" t="n">
        <f aca="false">IFERROR(I50/C50,"-")</f>
        <v>162.5</v>
      </c>
    </row>
    <row r="51" customFormat="false" ht="15" hidden="false" customHeight="false" outlineLevel="0" collapsed="false">
      <c r="A51" s="10" t="s">
        <v>22</v>
      </c>
      <c r="B51" s="10" t="s">
        <v>13</v>
      </c>
      <c r="C51" s="13" t="n">
        <f aca="false">COUNTIFS(Dane!$C$2:$C$16,$A51,Dane!$E$2:$E$16,$B51)</f>
        <v>2</v>
      </c>
      <c r="D51" s="13" t="n">
        <f aca="false">COUNTIFS(Dane!$C$2:$C$16,$A51,Dane!$E$2:$E$16,$B51,Dane!$J$2:$J$16,"Tak")</f>
        <v>0</v>
      </c>
      <c r="E51" s="14" t="n">
        <f aca="false">IFERROR(D51/C51,0)</f>
        <v>0</v>
      </c>
      <c r="F51" s="14" t="n">
        <f aca="false">IFERROR(AVERAGEIFS(Dane!$F$2:$F$16,Dane!$C$2:$C$16,$A51,Dane!$E$2:$E$16,$B51),"-")</f>
        <v>0.65</v>
      </c>
      <c r="G51" s="15" t="n">
        <f aca="false">IFERROR(AVERAGEIFS(Dane!$G$2:$G$16,Dane!$C$2:$C$16,$A51,Dane!$E$2:$E$16,$B51),"-")</f>
        <v>2.05</v>
      </c>
      <c r="H51" s="16" t="n">
        <f aca="false">IFERROR(AVERAGEIFS(Dane!$H$2:$H$16,Dane!$C$2:$C$16,$A51,Dane!$E$2:$E$16,$B51),"-")</f>
        <v>4</v>
      </c>
      <c r="I51" s="17" t="n">
        <f aca="false">IFERROR(SUMIFS(Dane!$I$2:$I$16,Dane!$C$2:$C$16,$A51,Dane!$E$2:$E$16,$B51),"-")</f>
        <v>0</v>
      </c>
      <c r="J51" s="18" t="str">
        <f aca="false">IFERROR(I51/D51,"brak zakupów")</f>
        <v>brak zakupów</v>
      </c>
      <c r="K51" s="18" t="n">
        <f aca="false">IFERROR(I51/C51,"-")</f>
        <v>0</v>
      </c>
    </row>
    <row r="52" customFormat="false" ht="15" hidden="false" customHeight="false" outlineLevel="0" collapsed="false">
      <c r="A52" s="10" t="s">
        <v>22</v>
      </c>
      <c r="B52" s="10" t="s">
        <v>18</v>
      </c>
      <c r="C52" s="13" t="n">
        <f aca="false">COUNTIFS(Dane!$C$2:$C$16,$A52,Dane!$E$2:$E$16,$B52)</f>
        <v>1</v>
      </c>
      <c r="D52" s="13" t="n">
        <f aca="false">COUNTIFS(Dane!$C$2:$C$16,$A52,Dane!$E$2:$E$16,$B52,Dane!$J$2:$J$16,"Tak")</f>
        <v>1</v>
      </c>
      <c r="E52" s="14" t="n">
        <f aca="false">IFERROR(D52/C52,0)</f>
        <v>1</v>
      </c>
      <c r="F52" s="14" t="n">
        <f aca="false">IFERROR(AVERAGEIFS(Dane!$F$2:$F$16,Dane!$C$2:$C$16,$A52,Dane!$E$2:$E$16,$B52),"-")</f>
        <v>0.4</v>
      </c>
      <c r="G52" s="15" t="n">
        <f aca="false">IFERROR(AVERAGEIFS(Dane!$G$2:$G$16,Dane!$C$2:$C$16,$A52,Dane!$E$2:$E$16,$B52),"-")</f>
        <v>3.1</v>
      </c>
      <c r="H52" s="16" t="n">
        <f aca="false">IFERROR(AVERAGEIFS(Dane!$H$2:$H$16,Dane!$C$2:$C$16,$A52,Dane!$E$2:$E$16,$B52),"-")</f>
        <v>6</v>
      </c>
      <c r="I52" s="17" t="n">
        <f aca="false">IFERROR(SUMIFS(Dane!$I$2:$I$16,Dane!$C$2:$C$16,$A52,Dane!$E$2:$E$16,$B52),"-")</f>
        <v>85</v>
      </c>
      <c r="J52" s="18" t="n">
        <f aca="false">IFERROR(I52/D52,"brak zakupów")</f>
        <v>85</v>
      </c>
      <c r="K52" s="18" t="n">
        <f aca="false">IFERROR(I52/C52,"-")</f>
        <v>85</v>
      </c>
    </row>
    <row r="55" customFormat="false" ht="15" hidden="false" customHeight="false" outlineLevel="0" collapsed="false">
      <c r="A55" s="11" t="s">
        <v>69</v>
      </c>
    </row>
    <row r="56" customFormat="false" ht="42" hidden="false" customHeight="true" outlineLevel="0" collapsed="false">
      <c r="A56" s="12" t="s">
        <v>3</v>
      </c>
      <c r="B56" s="12" t="s">
        <v>4</v>
      </c>
      <c r="C56" s="12" t="s">
        <v>52</v>
      </c>
      <c r="D56" s="12" t="s">
        <v>53</v>
      </c>
      <c r="E56" s="12" t="s">
        <v>54</v>
      </c>
      <c r="F56" s="12" t="s">
        <v>55</v>
      </c>
      <c r="G56" s="12" t="s">
        <v>56</v>
      </c>
      <c r="H56" s="12" t="s">
        <v>57</v>
      </c>
      <c r="I56" s="12" t="s">
        <v>58</v>
      </c>
      <c r="J56" s="12" t="s">
        <v>59</v>
      </c>
      <c r="K56" s="12" t="s">
        <v>60</v>
      </c>
    </row>
    <row r="57" customFormat="false" ht="15" hidden="false" customHeight="false" outlineLevel="0" collapsed="false">
      <c r="A57" s="10" t="s">
        <v>12</v>
      </c>
      <c r="B57" s="10" t="s">
        <v>13</v>
      </c>
      <c r="C57" s="13" t="n">
        <f aca="false">COUNTIFS(Dane!$D$2:$D$16,$A57,Dane!$E$2:$E$16,$B57)</f>
        <v>3</v>
      </c>
      <c r="D57" s="13" t="n">
        <f aca="false">COUNTIFS(Dane!$D$2:$D$16,$A57,Dane!$E$2:$E$16,$B57,Dane!$J$2:$J$16,"Tak")</f>
        <v>0</v>
      </c>
      <c r="E57" s="14" t="n">
        <f aca="false">IFERROR(D57/C57,0)</f>
        <v>0</v>
      </c>
      <c r="F57" s="14" t="n">
        <f aca="false">IFERROR(AVERAGEIFS(Dane!$F$2:$F$16,Dane!$D$2:$D$16,$A57,Dane!$E$2:$E$16,$B57),"-")</f>
        <v>0.683333333333333</v>
      </c>
      <c r="G57" s="15" t="n">
        <f aca="false">IFERROR(AVERAGEIFS(Dane!$G$2:$G$16,Dane!$D$2:$D$16,$A57,Dane!$E$2:$E$16,$B57),"-")</f>
        <v>1.56666666666667</v>
      </c>
      <c r="H57" s="16" t="n">
        <f aca="false">IFERROR(AVERAGEIFS(Dane!$H$2:$H$16,Dane!$D$2:$D$16,$A57,Dane!$E$2:$E$16,$B57),"-")</f>
        <v>3.33333333333333</v>
      </c>
      <c r="I57" s="17" t="n">
        <f aca="false">IFERROR(SUMIFS(Dane!$I$2:$I$16,Dane!$D$2:$D$16,$A57,Dane!$E$2:$E$16,$B57),"-")</f>
        <v>0</v>
      </c>
      <c r="J57" s="18" t="str">
        <f aca="false">IFERROR(I57/D57,"brak zakupów")</f>
        <v>brak zakupów</v>
      </c>
      <c r="K57" s="18" t="n">
        <f aca="false">IFERROR(I57/C57,"-")</f>
        <v>0</v>
      </c>
    </row>
    <row r="58" customFormat="false" ht="15" hidden="false" customHeight="false" outlineLevel="0" collapsed="false">
      <c r="A58" s="10" t="s">
        <v>12</v>
      </c>
      <c r="B58" s="10" t="s">
        <v>18</v>
      </c>
      <c r="C58" s="13" t="n">
        <f aca="false">COUNTIFS(Dane!$D$2:$D$16,$A58,Dane!$E$2:$E$16,$B58)</f>
        <v>3</v>
      </c>
      <c r="D58" s="13" t="n">
        <f aca="false">COUNTIFS(Dane!$D$2:$D$16,$A58,Dane!$E$2:$E$16,$B58,Dane!$J$2:$J$16,"Tak")</f>
        <v>3</v>
      </c>
      <c r="E58" s="14" t="n">
        <f aca="false">IFERROR(D58/C58,0)</f>
        <v>1</v>
      </c>
      <c r="F58" s="14" t="n">
        <f aca="false">IFERROR(AVERAGEIFS(Dane!$F$2:$F$16,Dane!$D$2:$D$16,$A58,Dane!$E$2:$E$16,$B58),"-")</f>
        <v>0.333333333333333</v>
      </c>
      <c r="G58" s="15" t="n">
        <f aca="false">IFERROR(AVERAGEIFS(Dane!$G$2:$G$16,Dane!$D$2:$D$16,$A58,Dane!$E$2:$E$16,$B58),"-")</f>
        <v>3.6</v>
      </c>
      <c r="H58" s="16" t="n">
        <f aca="false">IFERROR(AVERAGEIFS(Dane!$H$2:$H$16,Dane!$D$2:$D$16,$A58,Dane!$E$2:$E$16,$B58),"-")</f>
        <v>8.66666666666667</v>
      </c>
      <c r="I58" s="17" t="n">
        <f aca="false">IFERROR(SUMIFS(Dane!$I$2:$I$16,Dane!$D$2:$D$16,$A58,Dane!$E$2:$E$16,$B58),"-")</f>
        <v>385</v>
      </c>
      <c r="J58" s="18" t="n">
        <f aca="false">IFERROR(I58/D58,"brak zakupów")</f>
        <v>128.333333333333</v>
      </c>
      <c r="K58" s="18" t="n">
        <f aca="false">IFERROR(I58/C58,"-")</f>
        <v>128.333333333333</v>
      </c>
    </row>
    <row r="59" customFormat="false" ht="15" hidden="false" customHeight="false" outlineLevel="0" collapsed="false">
      <c r="A59" s="10" t="s">
        <v>17</v>
      </c>
      <c r="B59" s="10" t="s">
        <v>13</v>
      </c>
      <c r="C59" s="13" t="n">
        <f aca="false">COUNTIFS(Dane!$D$2:$D$16,$A59,Dane!$E$2:$E$16,$B59)</f>
        <v>2</v>
      </c>
      <c r="D59" s="13" t="n">
        <f aca="false">COUNTIFS(Dane!$D$2:$D$16,$A59,Dane!$E$2:$E$16,$B59,Dane!$J$2:$J$16,"Tak")</f>
        <v>1</v>
      </c>
      <c r="E59" s="14" t="n">
        <f aca="false">IFERROR(D59/C59,0)</f>
        <v>0.5</v>
      </c>
      <c r="F59" s="14" t="n">
        <f aca="false">IFERROR(AVERAGEIFS(Dane!$F$2:$F$16,Dane!$D$2:$D$16,$A59,Dane!$E$2:$E$16,$B59),"-")</f>
        <v>0.775</v>
      </c>
      <c r="G59" s="15" t="n">
        <f aca="false">IFERROR(AVERAGEIFS(Dane!$G$2:$G$16,Dane!$D$2:$D$16,$A59,Dane!$E$2:$E$16,$B59),"-")</f>
        <v>1.2</v>
      </c>
      <c r="H59" s="16" t="n">
        <f aca="false">IFERROR(AVERAGEIFS(Dane!$H$2:$H$16,Dane!$D$2:$D$16,$A59,Dane!$E$2:$E$16,$B59),"-")</f>
        <v>2.5</v>
      </c>
      <c r="I59" s="17" t="n">
        <f aca="false">IFERROR(SUMIFS(Dane!$I$2:$I$16,Dane!$D$2:$D$16,$A59,Dane!$E$2:$E$16,$B59),"-")</f>
        <v>30</v>
      </c>
      <c r="J59" s="18" t="n">
        <f aca="false">IFERROR(I59/D59,"brak zakupów")</f>
        <v>30</v>
      </c>
      <c r="K59" s="18" t="n">
        <f aca="false">IFERROR(I59/C59,"-")</f>
        <v>15</v>
      </c>
    </row>
    <row r="60" customFormat="false" ht="15" hidden="false" customHeight="false" outlineLevel="0" collapsed="false">
      <c r="A60" s="10" t="s">
        <v>17</v>
      </c>
      <c r="B60" s="10" t="s">
        <v>18</v>
      </c>
      <c r="C60" s="13" t="n">
        <f aca="false">COUNTIFS(Dane!$D$2:$D$16,$A60,Dane!$E$2:$E$16,$B60)</f>
        <v>3</v>
      </c>
      <c r="D60" s="13" t="n">
        <f aca="false">COUNTIFS(Dane!$D$2:$D$16,$A60,Dane!$E$2:$E$16,$B60,Dane!$J$2:$J$16,"Tak")</f>
        <v>3</v>
      </c>
      <c r="E60" s="14" t="n">
        <f aca="false">IFERROR(D60/C60,0)</f>
        <v>1</v>
      </c>
      <c r="F60" s="14" t="n">
        <f aca="false">IFERROR(AVERAGEIFS(Dane!$F$2:$F$16,Dane!$D$2:$D$16,$A60,Dane!$E$2:$E$16,$B60),"-")</f>
        <v>0.316666666666667</v>
      </c>
      <c r="G60" s="15" t="n">
        <f aca="false">IFERROR(AVERAGEIFS(Dane!$G$2:$G$16,Dane!$D$2:$D$16,$A60,Dane!$E$2:$E$16,$B60),"-")</f>
        <v>4.03333333333333</v>
      </c>
      <c r="H60" s="16" t="n">
        <f aca="false">IFERROR(AVERAGEIFS(Dane!$H$2:$H$16,Dane!$D$2:$D$16,$A60,Dane!$E$2:$E$16,$B60),"-")</f>
        <v>8.33333333333333</v>
      </c>
      <c r="I60" s="17" t="n">
        <f aca="false">IFERROR(SUMIFS(Dane!$I$2:$I$16,Dane!$D$2:$D$16,$A60,Dane!$E$2:$E$16,$B60),"-")</f>
        <v>320</v>
      </c>
      <c r="J60" s="18" t="n">
        <f aca="false">IFERROR(I60/D60,"brak zakupów")</f>
        <v>106.666666666667</v>
      </c>
      <c r="K60" s="18" t="n">
        <f aca="false">IFERROR(I60/C60,"-")</f>
        <v>106.666666666667</v>
      </c>
    </row>
    <row r="61" customFormat="false" ht="15" hidden="false" customHeight="false" outlineLevel="0" collapsed="false">
      <c r="A61" s="10" t="s">
        <v>21</v>
      </c>
      <c r="B61" s="10" t="s">
        <v>13</v>
      </c>
      <c r="C61" s="13" t="n">
        <f aca="false">COUNTIFS(Dane!$D$2:$D$16,$A61,Dane!$E$2:$E$16,$B61)</f>
        <v>3</v>
      </c>
      <c r="D61" s="13" t="n">
        <f aca="false">COUNTIFS(Dane!$D$2:$D$16,$A61,Dane!$E$2:$E$16,$B61,Dane!$J$2:$J$16,"Tak")</f>
        <v>0</v>
      </c>
      <c r="E61" s="14" t="n">
        <f aca="false">IFERROR(D61/C61,0)</f>
        <v>0</v>
      </c>
      <c r="F61" s="14" t="n">
        <f aca="false">IFERROR(AVERAGEIFS(Dane!$F$2:$F$16,Dane!$D$2:$D$16,$A61,Dane!$E$2:$E$16,$B61),"-")</f>
        <v>0.716666666666667</v>
      </c>
      <c r="G61" s="15" t="n">
        <f aca="false">IFERROR(AVERAGEIFS(Dane!$G$2:$G$16,Dane!$D$2:$D$16,$A61,Dane!$E$2:$E$16,$B61),"-")</f>
        <v>1.66666666666667</v>
      </c>
      <c r="H61" s="16" t="n">
        <f aca="false">IFERROR(AVERAGEIFS(Dane!$H$2:$H$16,Dane!$D$2:$D$16,$A61,Dane!$E$2:$E$16,$B61),"-")</f>
        <v>3.33333333333333</v>
      </c>
      <c r="I61" s="17" t="n">
        <f aca="false">IFERROR(SUMIFS(Dane!$I$2:$I$16,Dane!$D$2:$D$16,$A61,Dane!$E$2:$E$16,$B61),"-")</f>
        <v>0</v>
      </c>
      <c r="J61" s="18" t="str">
        <f aca="false">IFERROR(I61/D61,"brak zakupów")</f>
        <v>brak zakupów</v>
      </c>
      <c r="K61" s="18" t="n">
        <f aca="false">IFERROR(I61/C61,"-")</f>
        <v>0</v>
      </c>
    </row>
    <row r="62" customFormat="false" ht="15" hidden="false" customHeight="false" outlineLevel="0" collapsed="false">
      <c r="A62" s="10" t="s">
        <v>21</v>
      </c>
      <c r="B62" s="10" t="s">
        <v>18</v>
      </c>
      <c r="C62" s="13" t="n">
        <f aca="false">COUNTIFS(Dane!$D$2:$D$16,$A62,Dane!$E$2:$E$16,$B62)</f>
        <v>1</v>
      </c>
      <c r="D62" s="13" t="n">
        <f aca="false">COUNTIFS(Dane!$D$2:$D$16,$A62,Dane!$E$2:$E$16,$B62,Dane!$J$2:$J$16,"Tak")</f>
        <v>1</v>
      </c>
      <c r="E62" s="14" t="n">
        <f aca="false">IFERROR(D62/C62,0)</f>
        <v>1</v>
      </c>
      <c r="F62" s="14" t="n">
        <f aca="false">IFERROR(AVERAGEIFS(Dane!$F$2:$F$16,Dane!$D$2:$D$16,$A62,Dane!$E$2:$E$16,$B62),"-")</f>
        <v>0.15</v>
      </c>
      <c r="G62" s="15" t="n">
        <f aca="false">IFERROR(AVERAGEIFS(Dane!$G$2:$G$16,Dane!$D$2:$D$16,$A62,Dane!$E$2:$E$16,$B62),"-")</f>
        <v>5.2</v>
      </c>
      <c r="H62" s="16" t="n">
        <f aca="false">IFERROR(AVERAGEIFS(Dane!$H$2:$H$16,Dane!$D$2:$D$16,$A62,Dane!$E$2:$E$16,$B62),"-")</f>
        <v>12</v>
      </c>
      <c r="I62" s="17" t="n">
        <f aca="false">IFERROR(SUMIFS(Dane!$I$2:$I$16,Dane!$D$2:$D$16,$A62,Dane!$E$2:$E$16,$B62),"-")</f>
        <v>200</v>
      </c>
      <c r="J62" s="18" t="n">
        <f aca="false">IFERROR(I62/D62,"brak zakupów")</f>
        <v>200</v>
      </c>
      <c r="K62" s="18" t="n">
        <f aca="false">IFERROR(I62/C62,"-")</f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2026-10-09T17:17:14Z</dcterms:created>
  <dc:creator>openpyxl</dc:creator>
  <dc:description/>
  <dc:language>en-US</dc:language>
  <cp:lastModifiedBy/>
  <dcterms:modified xsi:type="dcterms:W3CDTF">2026-10-09T17:17:14Z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