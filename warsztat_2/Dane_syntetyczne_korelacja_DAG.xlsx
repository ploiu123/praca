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ne syntetyczne" sheetId="1" state="visible" r:id="rId3"/>
    <sheet name="Opis i zadania" sheetId="2" state="visible" r:id="rId4"/>
    <sheet name="Etap 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<sst xmlns="http://schemas.openxmlformats.org/spreadsheetml/2006/main" count="43" uniqueCount="40">
  <si>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Miesiąc</t>
  </si>
  <si>
    <t xml:space="preserve">Reklama (tys. zł)</t>
  </si>
  <si>
    <t xml:space="preserve">Sprzedaż (tys. zł)</t>
  </si>
  <si>
    <t xml:space="preserve">Indeks popytu</t>
  </si>
  <si>
    <t xml:space="preserve">Rabat (%)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</si>
  <si>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</si>
  <si>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</si>
  <si>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</si>
  <si>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</si>
  <si>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</si>
  <si>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</si>
  <si>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</si>
  <si>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</si>
  <si>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</si>
  <si>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</si>
  <si>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</si>
  <si>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</si>
  <si>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Ćwiczenie: korelacja i DAG – skuteczność reklam</t>
  </si>
  <si>
    <t xml:space="preserve">Charakter danych</t>
  </si>
  <si>
    <t xml:space="preserve">Syntetyczne – 12 miesięcy, wcześniej wykorzystane w zadaniu</t>
  </si>
  <si>
    <t xml:space="preserve">Jednostki</t>
  </si>
  <si>
    <t xml:space="preserve">Wydatki i sprzedaż: tys. zł; rabat: punkty procentowe</t>
  </si>
  <si>
    <t xml:space="preserve">Umowny wskaźnik zainteresowania kategorią niezależny od reklam firmy</t>
  </si>
  <si>
    <t xml:space="preserve">Cel</t>
  </si>
  <si>
    <t xml:space="preserve">Odróżnić korelację od wpływu przyczynowego i zbudować DAG</t>
  </si>
  <si>
    <t xml:space="preserve">Etap I</t>
  </si>
  <si>
    <t xml:space="preserve">Oblicz współczynnik Pearsona : reklama–sprzedaż, popyt–sprzedaż, popyt–reklama</t>
  </si>
  <si>
    <t xml:space="preserve">Porównaj korelacje dla całego roku oraz bez listopada i grudnia</t>
  </si>
  <si>
    <t xml:space="preserve">Uwaga: Indeks popytu jest umownym wskaźnikiem zainteresowania kategorią produktów, niezależnym od płatnych reklam analizowanej firmy. Przykładowo może pochodzić z danych o trendach wyszukiwania.</t>
  </si>
  <si>
    <t xml:space="preserve">Współczynnik korelacji Pearsona</t>
  </si>
  <si>
    <t xml:space="preserve">Para zmiennych</t>
  </si>
  <si>
    <t xml:space="preserve">Wszystkie miesiące</t>
  </si>
  <si>
    <t xml:space="preserve">Bez listopada i grudnia</t>
  </si>
  <si>
    <t xml:space="preserve">Reklama – sprzedaż</t>
  </si>
  <si>
    <t xml:space="preserve">Popyt – sprzedaż</t>
  </si>
  <si>
    <t xml:space="preserve">Popyt – reklama</t>
  </si>
  <si>
    <t xml:space="preserve">Linia regresji: sprzedaż = a × reklama + b</t>
  </si>
  <si>
    <t xml:space="preserve">Nachylenie a</t>
  </si>
  <si>
    <t xml:space="preserve">Wyraz wolny b</t>
  </si>
  <si>
    <t xml:space="preserve">R²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</si>
</sst>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8F0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E8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Wydatki na reklamę a sprzedaż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"Miesiące"</c:f>
              <c:strCache>
                <c:ptCount val="1"/>
                <c:pt idx="0">
                  <c:v>Miesiące</c:v>
                </c:pt>
              </c:strCache>
            </c:strRef>
          </c:tx>
          <c:spPr>
            <a:solidFill>
              <a:srgbClr val="4472c4"/>
            </a:solidFill>
            <a:ln w="3816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60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'Dane syntetyczne'!$B$2:$B$13</c:f>
              <c:numCache>
                <c:formatCode>0</c:formatCode>
                <c:ptCount val="12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27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34</c:v>
                </c:pt>
                <c:pt idx="8">
                  <c:v>38</c:v>
                </c:pt>
                <c:pt idx="9">
                  <c:v>42</c:v>
                </c:pt>
                <c:pt idx="10">
                  <c:v>65</c:v>
                </c:pt>
                <c:pt idx="11">
                  <c:v>70</c:v>
                </c:pt>
              </c:numCache>
            </c:numRef>
          </c:xVal>
          <c:yVal>
            <c:numRef>
              <c:f>'Dane syntetyczne'!$C$2:$C$13</c:f>
              <c:numCache>
                <c:formatCode>0</c:formatCode>
                <c:ptCount val="12"/>
                <c:pt idx="0">
                  <c:v>210</c:v>
                </c:pt>
                <c:pt idx="1">
                  <c:v>220</c:v>
                </c:pt>
                <c:pt idx="2">
                  <c:v>245</c:v>
                </c:pt>
                <c:pt idx="3">
                  <c:v>250</c:v>
                </c:pt>
                <c:pt idx="4">
                  <c:v>275</c:v>
                </c:pt>
                <c:pt idx="5">
                  <c:v>290</c:v>
                </c:pt>
                <c:pt idx="6">
                  <c:v>310</c:v>
                </c:pt>
                <c:pt idx="7">
                  <c:v>305</c:v>
                </c:pt>
                <c:pt idx="8">
                  <c:v>340</c:v>
                </c:pt>
                <c:pt idx="9">
                  <c:v>365</c:v>
                </c:pt>
                <c:pt idx="10">
                  <c:v>520</c:v>
                </c:pt>
                <c:pt idx="11">
                  <c:v>570</c:v>
                </c:pt>
              </c:numCache>
            </c:numRef>
          </c:yVal>
          <c:smooth val="1"/>
        </c:ser>
        <c:axId val="1262469"/>
        <c:axId val="44807497"/>
      </c:scatterChart>
      <c:valAx>
        <c:axId val="1262469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Reklama (tys. zł)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07497"/>
        <c:crosses val="autoZero"/>
        <c:crossBetween val="midCat"/>
      </c:valAx>
      <c:valAx>
        <c:axId val="4480749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Sprzedaż (tys. zł)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6246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327960</xdr:colOff>
      <xdr:row>2</xdr:row>
      <xdr:rowOff>171360</xdr:rowOff>
    </xdr:from>
    <xdr:to>
      <xdr:col>9</xdr:col>
      <xdr:colOff>340200</xdr:colOff>
      <xdr:row>11</xdr:row>
      <xdr:rowOff>15840</xdr:rowOff>
    </xdr:to>
    <xdr:pic>
      <xdr:nvPicPr>
        <xdr:cNvPr id="0" name="Obraz 1" descr=""/>
        <xdr:cNvPicPr/>
      </xdr:nvPicPr>
      <xdr:blipFill>
        <a:blip r:embed="rId1"/>
        <a:stretch/>
      </xdr:blipFill>
      <xdr:spPr>
        <a:xfrm>
          <a:off x="8645040" y="637920"/>
          <a:ext cx="4293000" cy="218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255960</xdr:colOff>
      <xdr:row>16</xdr:row>
      <xdr:rowOff>42840</xdr:rowOff>
    </xdr:to>
    <xdr:graphicFrame>
      <xdr:nvGraphicFramePr>
        <xdr:cNvPr id="1" name="Chart 1"/>
        <xdr:cNvGraphicFramePr/>
      </xdr:nvGraphicFramePr>
      <xdr:xfrm>
        <a:off x="441756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neMarketingowe" displayName="DaneMarketingowe" ref="A1:E13" headerRowCount="1" totalsRowCount="0" totalsRowShown="0">
  <tableColumns count="5">
    <tableColumn id="1" name="Miesiąc"/>
    <tableColumn id="2" name="Reklama (tys. zł)"/>
    <tableColumn id="3" name="Sprzedaż (tys. zł)"/>
    <tableColumn id="4" name="Indeks popytu"/>
    <tableColumn id="5" name="Rabat (%)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2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5" hidden="false" customHeight="false" outlineLevel="0" collapsed="false">
      <c r="A2" s="0" t="s">
        <v>5</v>
      </c>
      <c r="B2" s="2" t="n">
        <v>20</v>
      </c>
      <c r="C2" s="2" t="n">
        <v>210</v>
      </c>
      <c r="D2" s="2" t="n">
        <v>85</v>
      </c>
      <c r="E2" s="2" t="n">
        <v>0</v>
      </c>
    </row>
    <row r="3" customFormat="false" ht="13.5" hidden="false" customHeight="false" outlineLevel="0" collapsed="false">
      <c r="A3" s="0" t="s">
        <v>6</v>
      </c>
      <c r="B3" s="2" t="n">
        <v>22</v>
      </c>
      <c r="C3" s="2" t="n">
        <v>220</v>
      </c>
      <c r="D3" s="2" t="n">
        <v>88</v>
      </c>
      <c r="E3" s="2" t="n">
        <v>0</v>
      </c>
    </row>
    <row r="4" customFormat="false" ht="13.5" hidden="false" customHeight="false" outlineLevel="0" collapsed="false">
      <c r="A4" s="0" t="s">
        <v>7</v>
      </c>
      <c r="B4" s="2" t="n">
        <v>25</v>
      </c>
      <c r="C4" s="2" t="n">
        <v>245</v>
      </c>
      <c r="D4" s="2" t="n">
        <v>93</v>
      </c>
      <c r="E4" s="2" t="n">
        <v>5</v>
      </c>
    </row>
    <row r="5" customFormat="false" ht="13.5" hidden="false" customHeight="false" outlineLevel="0" collapsed="false">
      <c r="A5" s="0" t="s">
        <v>8</v>
      </c>
      <c r="B5" s="2" t="n">
        <v>27</v>
      </c>
      <c r="C5" s="2" t="n">
        <v>250</v>
      </c>
      <c r="D5" s="2" t="n">
        <v>95</v>
      </c>
      <c r="E5" s="2" t="n">
        <v>0</v>
      </c>
    </row>
    <row r="6" customFormat="false" ht="13.5" hidden="false" customHeight="false" outlineLevel="0" collapsed="false">
      <c r="A6" s="0" t="s">
        <v>9</v>
      </c>
      <c r="B6" s="2" t="n">
        <v>30</v>
      </c>
      <c r="C6" s="2" t="n">
        <v>275</v>
      </c>
      <c r="D6" s="2" t="n">
        <v>102</v>
      </c>
      <c r="E6" s="2" t="n">
        <v>5</v>
      </c>
    </row>
    <row r="7" customFormat="false" ht="13.5" hidden="false" customHeight="false" outlineLevel="0" collapsed="false">
      <c r="A7" s="0" t="s">
        <v>10</v>
      </c>
      <c r="B7" s="2" t="n">
        <v>33</v>
      </c>
      <c r="C7" s="2" t="n">
        <v>290</v>
      </c>
      <c r="D7" s="2" t="n">
        <v>106</v>
      </c>
      <c r="E7" s="2" t="n">
        <v>0</v>
      </c>
    </row>
    <row r="8" customFormat="false" ht="13.5" hidden="false" customHeight="false" outlineLevel="0" collapsed="false">
      <c r="A8" s="0" t="s">
        <v>11</v>
      </c>
      <c r="B8" s="2" t="n">
        <v>35</v>
      </c>
      <c r="C8" s="2" t="n">
        <v>310</v>
      </c>
      <c r="D8" s="2" t="n">
        <v>110</v>
      </c>
      <c r="E8" s="2" t="n">
        <v>10</v>
      </c>
    </row>
    <row r="9" customFormat="false" ht="13.5" hidden="false" customHeight="false" outlineLevel="0" collapsed="false">
      <c r="A9" s="0" t="s">
        <v>12</v>
      </c>
      <c r="B9" s="2" t="n">
        <v>34</v>
      </c>
      <c r="C9" s="2" t="n">
        <v>305</v>
      </c>
      <c r="D9" s="2" t="n">
        <v>108</v>
      </c>
      <c r="E9" s="2" t="n">
        <v>5</v>
      </c>
    </row>
    <row r="10" customFormat="false" ht="13.5" hidden="false" customHeight="false" outlineLevel="0" collapsed="false">
      <c r="A10" s="0" t="s">
        <v>13</v>
      </c>
      <c r="B10" s="2" t="n">
        <v>38</v>
      </c>
      <c r="C10" s="2" t="n">
        <v>340</v>
      </c>
      <c r="D10" s="2" t="n">
        <v>115</v>
      </c>
      <c r="E10" s="2" t="n">
        <v>5</v>
      </c>
    </row>
    <row r="11" customFormat="false" ht="13.5" hidden="false" customHeight="false" outlineLevel="0" collapsed="false">
      <c r="A11" s="0" t="s">
        <v>14</v>
      </c>
      <c r="B11" s="2" t="n">
        <v>42</v>
      </c>
      <c r="C11" s="2" t="n">
        <v>365</v>
      </c>
      <c r="D11" s="2" t="n">
        <v>120</v>
      </c>
      <c r="E11" s="2" t="n">
        <v>10</v>
      </c>
    </row>
    <row r="12" customFormat="false" ht="13.5" hidden="false" customHeight="false" outlineLevel="0" collapsed="false">
      <c r="A12" s="0" t="s">
        <v>15</v>
      </c>
      <c r="B12" s="2" t="n">
        <v>65</v>
      </c>
      <c r="C12" s="2" t="n">
        <v>520</v>
      </c>
      <c r="D12" s="2" t="n">
        <v>155</v>
      </c>
      <c r="E12" s="2" t="n">
        <v>20</v>
      </c>
    </row>
    <row r="13" customFormat="false" ht="13.5" hidden="false" customHeight="false" outlineLevel="0" collapsed="false">
      <c r="A13" s="0" t="s">
        <v>16</v>
      </c>
      <c r="B13" s="2" t="n">
        <v>70</v>
      </c>
      <c r="C13" s="2" t="n">
        <v>570</v>
      </c>
      <c r="D13" s="2" t="n">
        <v>170</v>
      </c>
      <c r="E13" s="2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3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4"/>
  </cols>
  <sheetData>
    <row r="1" customFormat="false" ht="23.25" hidden="false" customHeight="true" outlineLevel="0" collapsed="false">
      <c r="A1" s="3" t="s">
        <v>17</v>
      </c>
      <c r="B1" s="3"/>
      <c r="C1" s="3"/>
      <c r="D1" s="3"/>
      <c r="E1" s="3"/>
      <c r="F1" s="3"/>
    </row>
    <row r="3" customFormat="false" ht="22.5" hidden="false" customHeight="true" outlineLevel="0" collapsed="false">
      <c r="A3" s="4" t="s">
        <v>18</v>
      </c>
      <c r="B3" s="5" t="s">
        <v>19</v>
      </c>
    </row>
    <row r="4" customFormat="false" ht="22.5" hidden="false" customHeight="true" outlineLevel="0" collapsed="false">
      <c r="A4" s="4" t="s">
        <v>20</v>
      </c>
      <c r="B4" s="5" t="s">
        <v>21</v>
      </c>
    </row>
    <row r="5" customFormat="false" ht="22.5" hidden="false" customHeight="true" outlineLevel="0" collapsed="false">
      <c r="A5" s="4" t="s">
        <v>3</v>
      </c>
      <c r="B5" s="5" t="s">
        <v>22</v>
      </c>
    </row>
    <row r="6" customFormat="false" ht="22.5" hidden="false" customHeight="true" outlineLevel="0" collapsed="false">
      <c r="A6" s="4" t="s">
        <v>23</v>
      </c>
      <c r="B6" s="5" t="s">
        <v>24</v>
      </c>
    </row>
    <row r="7" customFormat="false" ht="22.5" hidden="false" customHeight="true" outlineLevel="0" collapsed="false">
      <c r="A7" s="4" t="s">
        <v>25</v>
      </c>
      <c r="B7" s="5" t="s">
        <v>26</v>
      </c>
    </row>
    <row r="8" customFormat="false" ht="22.5" hidden="false" customHeight="true" outlineLevel="0" collapsed="false">
      <c r="A8" s="4"/>
      <c r="B8" s="5" t="s">
        <v>27</v>
      </c>
    </row>
    <row r="9" customFormat="false" ht="22.5" hidden="false" customHeight="true" outlineLevel="0" collapsed="false">
      <c r="A9" s="4"/>
      <c r="B9" s="5"/>
    </row>
    <row r="13" customFormat="false" ht="13.5" hidden="false" customHeight="false" outlineLevel="0" collapsed="false">
      <c r="B13" s="0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6" t="s">
        <v>29</v>
      </c>
    </row>
    <row r="2" customFormat="false" ht="28.35" hidden="false" customHeight="false" outlineLevel="0" collapsed="false">
      <c r="A2" s="7" t="s">
        <v>30</v>
      </c>
      <c r="B2" s="7" t="s">
        <v>31</v>
      </c>
      <c r="C2" s="7" t="s">
        <v>32</v>
      </c>
    </row>
    <row r="3" customFormat="false" ht="15" hidden="false" customHeight="false" outlineLevel="0" collapsed="false">
      <c r="A3" s="8" t="s">
        <v>33</v>
      </c>
      <c r="B3" s="9" t="n">
        <f aca="false">PEARSON('Dane syntetyczne'!$B$2:$B$13,'Dane syntetyczne'!$C$2:$C$13)</f>
        <v>0.998976828895739</v>
      </c>
      <c r="C3" s="9" t="n">
        <f aca="false">PEARSON('Dane syntetyczne'!$B$2:$B$11,'Dane syntetyczne'!$C$2:$C$11)</f>
        <v>0.995973336840385</v>
      </c>
    </row>
    <row r="4" customFormat="false" ht="15" hidden="false" customHeight="false" outlineLevel="0" collapsed="false">
      <c r="A4" s="8" t="s">
        <v>34</v>
      </c>
      <c r="B4" s="9" t="n">
        <f aca="false">PEARSON('Dane syntetyczne'!$D$2:$D$13,'Dane syntetyczne'!$C$2:$C$13)</f>
        <v>0.998876781941239</v>
      </c>
      <c r="C4" s="9" t="n">
        <f aca="false">PEARSON('Dane syntetyczne'!$D$2:$D$11,'Dane syntetyczne'!$C$2:$C$11)</f>
        <v>0.995795577980075</v>
      </c>
    </row>
    <row r="5" customFormat="false" ht="15" hidden="false" customHeight="false" outlineLevel="0" collapsed="false">
      <c r="A5" s="8" t="s">
        <v>35</v>
      </c>
      <c r="B5" s="9" t="n">
        <f aca="false">PEARSON('Dane syntetyczne'!$D$2:$D$13,'Dane syntetyczne'!$B$2:$B$13)</f>
        <v>0.998160814814854</v>
      </c>
      <c r="C5" s="9" t="n">
        <f aca="false">PEARSON('Dane syntetyczne'!$D$2:$D$11,'Dane syntetyczne'!$B$2:$B$11)</f>
        <v>0.998368483591478</v>
      </c>
    </row>
    <row r="7" customFormat="false" ht="15" hidden="false" customHeight="false" outlineLevel="0" collapsed="false">
      <c r="A7" s="6" t="s">
        <v>36</v>
      </c>
    </row>
    <row r="8" customFormat="false" ht="28.35" hidden="false" customHeight="false" outlineLevel="0" collapsed="false">
      <c r="A8" s="7"/>
      <c r="B8" s="7" t="s">
        <v>31</v>
      </c>
      <c r="C8" s="7" t="s">
        <v>32</v>
      </c>
    </row>
    <row r="9" customFormat="false" ht="15" hidden="false" customHeight="false" outlineLevel="0" collapsed="false">
      <c r="A9" s="8" t="s">
        <v>37</v>
      </c>
      <c r="B9" s="9" t="n">
        <f aca="false">SLOPE('Dane syntetyczne'!$C$2:$C$13,'Dane syntetyczne'!$B$2:$B$13)</f>
        <v>7.16101307488342</v>
      </c>
      <c r="C9" s="9" t="n">
        <f aca="false">SLOPE('Dane syntetyczne'!$C$2:$C$11,'Dane syntetyczne'!$B$2:$B$11)</f>
        <v>7.11538461538462</v>
      </c>
    </row>
    <row r="10" customFormat="false" ht="15" hidden="false" customHeight="false" outlineLevel="0" collapsed="false">
      <c r="A10" s="8" t="s">
        <v>38</v>
      </c>
      <c r="B10" s="9" t="n">
        <f aca="false">INTERCEPT('Dane syntetyczne'!$C$2:$C$13,'Dane syntetyczne'!$B$2:$B$13)</f>
        <v>61.8327694980342</v>
      </c>
      <c r="C10" s="9" t="n">
        <f aca="false">INTERCEPT('Dane syntetyczne'!$C$2:$C$11,'Dane syntetyczne'!$B$2:$B$11)</f>
        <v>63.2692307692308</v>
      </c>
    </row>
    <row r="11" customFormat="false" ht="15" hidden="false" customHeight="false" outlineLevel="0" collapsed="false">
      <c r="A11" s="8" t="s">
        <v>39</v>
      </c>
      <c r="B11" s="9" t="n">
        <f aca="false">RSQ('Dane syntetyczne'!$C$2:$C$13,'Dane syntetyczne'!$B$2:$B$13)</f>
        <v>0.997954704670587</v>
      </c>
      <c r="C11" s="9" t="n">
        <f aca="false">RSQ('Dane syntetyczne'!$C$2:$C$11,'Dane syntetyczne'!$B$2:$B$11)</f>
        <v>0.991962887696972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2026-10-11T16:15:27Z</dcterms:created>
  <dc:creator>pmare</dc:creator>
  <dc:description/>
  <dc:language>en-US</dc:language>
  <cp:lastModifiedBy/>
  <dcterms:modified xsi:type="dcterms:W3CDTF">2026-10-16T17:02:36Z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